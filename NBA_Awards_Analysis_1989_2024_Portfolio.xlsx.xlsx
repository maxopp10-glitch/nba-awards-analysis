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MAX\Desktop\PORTOFOLIO\"/>
    </mc:Choice>
  </mc:AlternateContent>
  <xr:revisionPtr revIDLastSave="0" documentId="8_{C696DEFA-1F91-49D4-8EF2-AAA39450A1BA}" xr6:coauthVersionLast="47" xr6:coauthVersionMax="47" xr10:uidLastSave="{00000000-0000-0000-0000-000000000000}"/>
  <bookViews>
    <workbookView xWindow="19095" yWindow="0" windowWidth="19410" windowHeight="15585" firstSheet="14" activeTab="17" xr2:uid="{B0742763-2F39-41F6-AA21-C2F35843D40F}"/>
  </bookViews>
  <sheets>
    <sheet name="Dashboard" sheetId="31" r:id="rId1"/>
    <sheet name="README" sheetId="1" r:id="rId2"/>
    <sheet name="Mvp" sheetId="10" state="hidden" r:id="rId3"/>
    <sheet name="Data_MVP" sheetId="2" state="hidden" r:id="rId4"/>
    <sheet name="Data_DPOY_Decade" sheetId="29" state="hidden" r:id="rId5"/>
    <sheet name="DPOY" sheetId="15" state="hidden" r:id="rId6"/>
    <sheet name="DATA_DPOY_Correlation" sheetId="30" state="hidden" r:id="rId7"/>
    <sheet name="Data_ROY" sheetId="23" state="hidden" r:id="rId8"/>
    <sheet name="MVP_Decade_Summary" sheetId="13" r:id="rId9"/>
    <sheet name="DPOY_Decade_Summary" sheetId="18" r:id="rId10"/>
    <sheet name="ROY_Decade_Summary" sheetId="26" r:id="rId11"/>
    <sheet name="DPOY_Evolution" sheetId="7" r:id="rId12"/>
    <sheet name="Correlation_MVP" sheetId="32" r:id="rId13"/>
    <sheet name="Correlation_DPOY" sheetId="8" r:id="rId14"/>
    <sheet name="Final_Insights MVP" sheetId="9" r:id="rId15"/>
    <sheet name="Final_Insights DPOY" sheetId="19" r:id="rId16"/>
    <sheet name="Final_Insights ROY" sheetId="27" r:id="rId17"/>
    <sheet name="Final_Insights_Overall" sheetId="28" r:id="rId18"/>
  </sheets>
  <definedNames>
    <definedName name="DadosExternos_1" localSheetId="5" hidden="1">DPOY!$A$1:$M$37</definedName>
    <definedName name="DadosExternos_2" localSheetId="13" hidden="1">Correlation_DPOY!#REF!</definedName>
    <definedName name="DadosExternos_2" localSheetId="4" hidden="1">Data_DPOY_Decade!$A$1:$M$37</definedName>
    <definedName name="DadosExternos_3" localSheetId="6" hidden="1">DATA_DPOY_Correlation!$A$1:$M$37</definedName>
  </definedNames>
  <calcPr calcId="191029"/>
  <pivotCaches>
    <pivotCache cacheId="87" r:id="rId19"/>
    <pivotCache cacheId="88" r:id="rId20"/>
    <pivotCache cacheId="89" r:id="rId21"/>
    <pivotCache cacheId="90" r:id="rId22"/>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8" l="1"/>
  <c r="L4" i="8"/>
  <c r="L3" i="8"/>
  <c r="L2" i="8"/>
  <c r="K5" i="8"/>
  <c r="K4" i="8"/>
  <c r="K3" i="8"/>
  <c r="K2" i="8"/>
  <c r="H37" i="30"/>
  <c r="H36" i="30"/>
  <c r="H35" i="30"/>
  <c r="H34" i="30"/>
  <c r="H33" i="30"/>
  <c r="H32" i="30"/>
  <c r="H31" i="30"/>
  <c r="H30" i="30"/>
  <c r="H29" i="30"/>
  <c r="H28" i="30"/>
  <c r="H27" i="30"/>
  <c r="H26" i="30"/>
  <c r="H25" i="30"/>
  <c r="H24" i="30"/>
  <c r="H23" i="30"/>
  <c r="H22" i="30"/>
  <c r="H21" i="30"/>
  <c r="H20" i="30"/>
  <c r="H19" i="30"/>
  <c r="H18" i="30"/>
  <c r="H17" i="30"/>
  <c r="H16" i="30"/>
  <c r="H15" i="30"/>
  <c r="H14" i="30"/>
  <c r="H13" i="30"/>
  <c r="H12" i="30"/>
  <c r="H11" i="30"/>
  <c r="H10" i="30"/>
  <c r="H9" i="30"/>
  <c r="H8" i="30"/>
  <c r="H7" i="30"/>
  <c r="H6" i="30"/>
  <c r="H5" i="30"/>
  <c r="H4" i="30"/>
  <c r="H3" i="30"/>
  <c r="H2" i="30"/>
  <c r="H37" i="29"/>
  <c r="H36" i="29"/>
  <c r="H35" i="29"/>
  <c r="H34" i="29"/>
  <c r="H33" i="29"/>
  <c r="H32" i="29"/>
  <c r="H31" i="29"/>
  <c r="H30" i="29"/>
  <c r="H29" i="29"/>
  <c r="H28" i="29"/>
  <c r="H27" i="29"/>
  <c r="H26" i="29"/>
  <c r="H25" i="29"/>
  <c r="H24" i="29"/>
  <c r="H23" i="29"/>
  <c r="H22" i="29"/>
  <c r="H21" i="29"/>
  <c r="H20" i="29"/>
  <c r="H19" i="29"/>
  <c r="H18" i="29"/>
  <c r="H17" i="29"/>
  <c r="H16" i="29"/>
  <c r="H15" i="29"/>
  <c r="H14" i="29"/>
  <c r="H13" i="29"/>
  <c r="H12" i="29"/>
  <c r="H11" i="29"/>
  <c r="H10" i="29"/>
  <c r="H9" i="29"/>
  <c r="H8" i="29"/>
  <c r="H7" i="29"/>
  <c r="H6" i="29"/>
  <c r="H5" i="29"/>
  <c r="H4" i="29"/>
  <c r="H3" i="29"/>
  <c r="H2" i="29"/>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73CEE0-698F-495E-9EF6-CC3789FFD7CC}" keepAlive="1" name="Consulta - DPOY" description="Conexão com a consulta 'DPOY' na pasta de trabalho." type="5" refreshedVersion="8" background="1" saveData="1">
    <dbPr connection="Provider=Microsoft.Mashup.OleDb.1;Data Source=$Workbook$;Location=DPOY;Extended Properties=&quot;&quot;" command="SELECT * FROM [DPOY]"/>
  </connection>
  <connection id="2" xr16:uid="{8883CEAF-4D63-4D7E-B82A-78FD89ABC290}" keepAlive="1" name="Consulta - DPOY (2)" description="Conexão com a consulta 'DPOY (2)' na pasta de trabalho." type="5" refreshedVersion="8" background="1" saveData="1">
    <dbPr connection="Provider=Microsoft.Mashup.OleDb.1;Data Source=$Workbook$;Location=&quot;DPOY (2)&quot;;Extended Properties=&quot;&quot;" command="SELECT * FROM [DPOY (2)]"/>
  </connection>
  <connection id="3" xr16:uid="{F1274C12-0743-4883-9777-E78D6E1A540E}" keepAlive="1" name="Consulta - DPOY (3)" description="Conexão com a consulta 'DPOY (3)' na pasta de trabalho." type="5" refreshedVersion="8" background="1" saveData="1">
    <dbPr connection="Provider=Microsoft.Mashup.OleDb.1;Data Source=$Workbook$;Location=&quot;DPOY (3)&quot;;Extended Properties=&quot;&quot;" command="SELECT * FROM [DPOY (3)]"/>
  </connection>
  <connection id="4" xr16:uid="{76724D17-B0E3-4D32-8AA7-36D7F14E4230}" keepAlive="1" name="Consulta - DPOY (4)" description="Conexão com a consulta 'DPOY (4)' na pasta de trabalho." type="5" refreshedVersion="8" background="1" saveData="1">
    <dbPr connection="Provider=Microsoft.Mashup.OleDb.1;Data Source=$Workbook$;Location=&quot;DPOY (4)&quot;;Extended Properties=&quot;&quot;" command="SELECT * FROM [DPOY (4)]"/>
  </connection>
  <connection id="5" xr16:uid="{CA1946BC-AFFF-4319-97B8-3E8A28E7DCAC}" keepAlive="1" name="Consulta - Mvp" description="Conexão com a consulta 'Mvp' na pasta de trabalho." type="5" refreshedVersion="8" background="1" saveData="1">
    <dbPr connection="Provider=Microsoft.Mashup.OleDb.1;Data Source=$Workbook$;Location=Mvp;Extended Properties=&quot;&quot;" command="SELECT * FROM [Mvp]"/>
  </connection>
  <connection id="6" xr16:uid="{480F8472-658A-4636-9A8F-3E56F39E2675}" keepAlive="1" name="Consulta - ROY" description="Conexão com a consulta 'ROY' na pasta de trabalho." type="5" refreshedVersion="0" background="1">
    <dbPr connection="Provider=Microsoft.Mashup.OleDb.1;Data Source=$Workbook$;Location=ROY;Extended Properties=&quot;&quot;" command="SELECT * FROM [ROY]"/>
  </connection>
  <connection id="7" xr16:uid="{353F3ED6-BBEB-4D9D-841E-96E2D61EDCB3}" keepAlive="1" name="Consulta - ROY (2)" description="Conexão com a consulta 'ROY (2)' na pasta de trabalho." type="5" refreshedVersion="0" background="1">
    <dbPr connection="Provider=Microsoft.Mashup.OleDb.1;Data Source=$Workbook$;Location=&quot;ROY (2)&quot;;Extended Properties=&quot;&quot;" command="SELECT * FROM [ROY (2)]"/>
  </connection>
  <connection id="8" xr16:uid="{B159FE7D-C785-41F7-A6BB-AFEF6E347B14}" keepAlive="1" name="Consulta - ROY (3)" description="Conexão com a consulta 'ROY (3)' na pasta de trabalho." type="5" refreshedVersion="8" background="1" saveData="1">
    <dbPr connection="Provider=Microsoft.Mashup.OleDb.1;Data Source=$Workbook$;Location=&quot;ROY (3)&quot;;Extended Properties=&quot;&quot;" command="SELECT * FROM [ROY (3)]"/>
  </connection>
  <connection id="9" xr16:uid="{B69B3EA5-DE96-486B-8054-D1C63AF3B826}" keepAlive="1" name="Consulta - ROY (4)" description="Conexão com a consulta 'ROY (4)' na pasta de trabalho." type="5" refreshedVersion="0" background="1">
    <dbPr connection="Provider=Microsoft.Mashup.OleDb.1;Data Source=$Workbook$;Location=&quot;ROY (4)&quot;;Extended Properties=&quot;&quot;" command="SELECT * FROM [ROY (4)]"/>
  </connection>
</connections>
</file>

<file path=xl/sharedStrings.xml><?xml version="1.0" encoding="utf-8"?>
<sst xmlns="http://schemas.openxmlformats.org/spreadsheetml/2006/main" count="855" uniqueCount="303">
  <si>
    <t>This project analyzes historical NBA award winners to identify</t>
  </si>
  <si>
    <t>the statistical profiles associated with:</t>
  </si>
  <si>
    <t>The focus is on descriptive data analysis, correlation analysis,</t>
  </si>
  <si>
    <t>and historical trends — not machine learning.</t>
  </si>
  <si>
    <t>Defensive Player of the Year (DPOY)</t>
  </si>
  <si>
    <t>Most Valuable Player (MVP)</t>
  </si>
  <si>
    <t xml:space="preserve"> Rookie of the Year (ROY)</t>
  </si>
  <si>
    <t>Season</t>
  </si>
  <si>
    <t>Lg</t>
  </si>
  <si>
    <t>Player</t>
  </si>
  <si>
    <t>Age</t>
  </si>
  <si>
    <t>Tm</t>
  </si>
  <si>
    <t>G</t>
  </si>
  <si>
    <t>MP</t>
  </si>
  <si>
    <t>PTS</t>
  </si>
  <si>
    <t>TRB</t>
  </si>
  <si>
    <t>AST</t>
  </si>
  <si>
    <t>STL</t>
  </si>
  <si>
    <t>BLK</t>
  </si>
  <si>
    <t>FG%</t>
  </si>
  <si>
    <t>3P%</t>
  </si>
  <si>
    <t>FT%</t>
  </si>
  <si>
    <t>WS</t>
  </si>
  <si>
    <t>WS/48</t>
  </si>
  <si>
    <t>2024-25</t>
  </si>
  <si>
    <t>NBA</t>
  </si>
  <si>
    <t>Shai Gilgeous-Alexander</t>
  </si>
  <si>
    <t>OKC</t>
  </si>
  <si>
    <t>34.2</t>
  </si>
  <si>
    <t>32.7</t>
  </si>
  <si>
    <t>2023-24</t>
  </si>
  <si>
    <t>Nikola Jokić</t>
  </si>
  <si>
    <t>DEN</t>
  </si>
  <si>
    <t>34.6</t>
  </si>
  <si>
    <t>2022-23</t>
  </si>
  <si>
    <t>Joel Embiid</t>
  </si>
  <si>
    <t>PHI</t>
  </si>
  <si>
    <t>2021-22</t>
  </si>
  <si>
    <t>33.5</t>
  </si>
  <si>
    <t>2020-21</t>
  </si>
  <si>
    <t>2019-20</t>
  </si>
  <si>
    <t>Giannis Antetokounmpo</t>
  </si>
  <si>
    <t>MIL</t>
  </si>
  <si>
    <t>30.4</t>
  </si>
  <si>
    <t>2018-19</t>
  </si>
  <si>
    <t>32.8</t>
  </si>
  <si>
    <t>2017-18</t>
  </si>
  <si>
    <t>James Harden</t>
  </si>
  <si>
    <t>HOU</t>
  </si>
  <si>
    <t>35.4</t>
  </si>
  <si>
    <t>2016-17</t>
  </si>
  <si>
    <t>Russell Westbrook</t>
  </si>
  <si>
    <t>2015-16</t>
  </si>
  <si>
    <t>Stephen Curry</t>
  </si>
  <si>
    <t>GSW</t>
  </si>
  <si>
    <t>2014-15</t>
  </si>
  <si>
    <t>2013-14</t>
  </si>
  <si>
    <t>Kevin Durant</t>
  </si>
  <si>
    <t>38.5</t>
  </si>
  <si>
    <t>2012-13</t>
  </si>
  <si>
    <t>LeBron James</t>
  </si>
  <si>
    <t>MIA</t>
  </si>
  <si>
    <t>37.9</t>
  </si>
  <si>
    <t>2011-12</t>
  </si>
  <si>
    <t>37.5</t>
  </si>
  <si>
    <t>2010-11</t>
  </si>
  <si>
    <t>Derrick Rose</t>
  </si>
  <si>
    <t>CHI</t>
  </si>
  <si>
    <t>37.4</t>
  </si>
  <si>
    <t>2009-10</t>
  </si>
  <si>
    <t>CLE</t>
  </si>
  <si>
    <t>39.0</t>
  </si>
  <si>
    <t>2008-09</t>
  </si>
  <si>
    <t>37.7</t>
  </si>
  <si>
    <t>2007-08</t>
  </si>
  <si>
    <t>Kobe Bryant</t>
  </si>
  <si>
    <t>LAL</t>
  </si>
  <si>
    <t>38.9</t>
  </si>
  <si>
    <t>2006-07</t>
  </si>
  <si>
    <t>Dirk Nowitzki</t>
  </si>
  <si>
    <t>DAL</t>
  </si>
  <si>
    <t>36.2</t>
  </si>
  <si>
    <t>2005-06</t>
  </si>
  <si>
    <t>Steve Nash</t>
  </si>
  <si>
    <t>PHO</t>
  </si>
  <si>
    <t>2004-05</t>
  </si>
  <si>
    <t>34.3</t>
  </si>
  <si>
    <t>2003-04</t>
  </si>
  <si>
    <t>Kevin Garnett</t>
  </si>
  <si>
    <t>MIN</t>
  </si>
  <si>
    <t>39.4</t>
  </si>
  <si>
    <t>2002-03</t>
  </si>
  <si>
    <t>Tim Duncan</t>
  </si>
  <si>
    <t>SAS</t>
  </si>
  <si>
    <t>39.3</t>
  </si>
  <si>
    <t>2001-02</t>
  </si>
  <si>
    <t>40.6</t>
  </si>
  <si>
    <t>2000-01</t>
  </si>
  <si>
    <t>Allen Iverson</t>
  </si>
  <si>
    <t>42.0</t>
  </si>
  <si>
    <t>1999-00</t>
  </si>
  <si>
    <t>Shaquille O'Neal</t>
  </si>
  <si>
    <t>40.0</t>
  </si>
  <si>
    <t>1998-99</t>
  </si>
  <si>
    <t>Karl Malone</t>
  </si>
  <si>
    <t>UTA</t>
  </si>
  <si>
    <t>1997-98</t>
  </si>
  <si>
    <t>Michael Jordan</t>
  </si>
  <si>
    <t>38.8</t>
  </si>
  <si>
    <t>1996-97</t>
  </si>
  <si>
    <t>36.6</t>
  </si>
  <si>
    <t>1995-96</t>
  </si>
  <si>
    <t>1994-95</t>
  </si>
  <si>
    <t>David Robinson</t>
  </si>
  <si>
    <t>38.0</t>
  </si>
  <si>
    <t>1993-94</t>
  </si>
  <si>
    <t>Hakeem Olajuwon</t>
  </si>
  <si>
    <t>41.0</t>
  </si>
  <si>
    <t>1992-93</t>
  </si>
  <si>
    <t>Charles Barkley</t>
  </si>
  <si>
    <t>37.6</t>
  </si>
  <si>
    <t>1991-92</t>
  </si>
  <si>
    <t>1990-91</t>
  </si>
  <si>
    <t>37.0</t>
  </si>
  <si>
    <t>1989-90</t>
  </si>
  <si>
    <t>Magic Johnson</t>
  </si>
  <si>
    <t>37.2</t>
  </si>
  <si>
    <t>Year</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</si>
  <si>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</si>
  <si>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</si>
  <si>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</si>
  <si>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</si>
  <si>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</si>
  <si>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</si>
  <si>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</si>
  <si>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</si>
  <si>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</si>
  <si>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</si>
  <si>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</si>
  <si>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</si>
  <si>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</si>
  <si>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</si>
  <si>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</si>
  <si>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</si>
  <si>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</si>
  <si>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</si>
  <si>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</si>
  <si>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</si>
  <si>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</si>
  <si>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</si>
  <si>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</si>
  <si>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</si>
  <si>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</si>
  <si>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</si>
  <si>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</si>
  <si>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</si>
  <si>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</si>
  <si>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</si>
  <si>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</si>
  <si>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</si>
  <si>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</si>
  <si>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</si>
  <si>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</si>
  <si>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</si>
  <si>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Rótulos de Linha</t>
  </si>
  <si>
    <t>Total Geral</t>
  </si>
  <si>
    <t>1989-1999</t>
  </si>
  <si>
    <t>1999-2009</t>
  </si>
  <si>
    <t>2009-2019</t>
  </si>
  <si>
    <t>2019-2029</t>
  </si>
  <si>
    <t>Média de PTS</t>
  </si>
  <si>
    <t>Média de TRB</t>
  </si>
  <si>
    <t>Média de AST</t>
  </si>
  <si>
    <t>Média de FG%</t>
  </si>
  <si>
    <t>Média de WS</t>
  </si>
  <si>
    <t>Média de WS/48</t>
  </si>
  <si>
    <t>Final Insights: What Defines an NBA MVP (1989–2024)</t>
  </si>
  <si>
    <t>Team</t>
  </si>
  <si>
    <t>Evan Mobley</t>
  </si>
  <si>
    <t>Rudy Gobert</t>
  </si>
  <si>
    <t>Jaren Jackson Jr.</t>
  </si>
  <si>
    <t>MEM</t>
  </si>
  <si>
    <t>Marcus Smart</t>
  </si>
  <si>
    <t>BOS</t>
  </si>
  <si>
    <t>Draymond Green</t>
  </si>
  <si>
    <t>Kawhi Leonard</t>
  </si>
  <si>
    <t>Joakim Noah</t>
  </si>
  <si>
    <t>Marc Gasol</t>
  </si>
  <si>
    <t>Tyson Chandler</t>
  </si>
  <si>
    <t>NYK</t>
  </si>
  <si>
    <t>Dwight Howard</t>
  </si>
  <si>
    <t>ORL</t>
  </si>
  <si>
    <t>Marcus Camby</t>
  </si>
  <si>
    <t>Ben Wallace</t>
  </si>
  <si>
    <t>DET</t>
  </si>
  <si>
    <t>Metta World Peace</t>
  </si>
  <si>
    <t>IND</t>
  </si>
  <si>
    <t>Dikembe Mutombo</t>
  </si>
  <si>
    <t>TOT</t>
  </si>
  <si>
    <t>Alonzo Mourning</t>
  </si>
  <si>
    <t>ATL</t>
  </si>
  <si>
    <t>Gary Payton</t>
  </si>
  <si>
    <t>SEA</t>
  </si>
  <si>
    <t>Dennis Rodman</t>
  </si>
  <si>
    <t>Média de STL</t>
  </si>
  <si>
    <t>Média de BLK</t>
  </si>
  <si>
    <t>MP corrigido</t>
  </si>
  <si>
    <t>1989-1998</t>
  </si>
  <si>
    <t>1999-2008</t>
  </si>
  <si>
    <t>2009-2018</t>
  </si>
  <si>
    <t>2019-2028</t>
  </si>
  <si>
    <t>Final Insights: What Defines NBA Defensive Player of the Year (1989–2024)</t>
  </si>
  <si>
    <t>NBA Awards Analysis (1989–2024)</t>
  </si>
  <si>
    <t>All metrics are analyzed at the player-season level. Key metrics include</t>
  </si>
  <si>
    <t>Workbook Structure</t>
  </si>
  <si>
    <t>Key Findings — MVP</t>
  </si>
  <si>
    <t>Key Findings — DPOY</t>
  </si>
  <si>
    <t xml:space="preserve">• DPOY winners exhibit a gradual decline in raw defensive volume stats (TRB, BLK) across decades, reflecting changes in pace, defensive schemes, and positional specialization.  </t>
  </si>
  <si>
    <t>• Data_MVP / Data_DPOY / Data_ROY: cleaned datasets</t>
  </si>
  <si>
    <t>• MVP_Decade_Summary / DPOY_Decade_Summary: decade-level pivot summaries</t>
  </si>
  <si>
    <t>• MVP_Evolution / DPOY_Evolution: year-by-year trend charts</t>
  </si>
  <si>
    <t>• Correlation_MVP / Correlation_DPOY: correlation analysis</t>
  </si>
  <si>
    <t>• Final_Insights MVP / Final_Insights DPOY: key conclusions</t>
  </si>
  <si>
    <t>• WS/48 remains stable or slightly increasing despite reduced total defensive volume, indicating improved per-minute defensive efficiency rather than increased total workload.</t>
  </si>
  <si>
    <t>Stephon Castle</t>
  </si>
  <si>
    <t>Victor Wembanyama</t>
  </si>
  <si>
    <t>Paolo Banchero</t>
  </si>
  <si>
    <t>Scottie Barnes</t>
  </si>
  <si>
    <t>TOR</t>
  </si>
  <si>
    <t>LaMelo Ball</t>
  </si>
  <si>
    <t>CHO</t>
  </si>
  <si>
    <t>Ja Morant</t>
  </si>
  <si>
    <t>Luka Dončić</t>
  </si>
  <si>
    <t>Ben Simmons</t>
  </si>
  <si>
    <t>Malcolm Brogdon</t>
  </si>
  <si>
    <t>Karl-Anthony Towns</t>
  </si>
  <si>
    <t>Andrew Wiggins</t>
  </si>
  <si>
    <t>Michael Carter-Williams</t>
  </si>
  <si>
    <t>Damian Lillard</t>
  </si>
  <si>
    <t>POR</t>
  </si>
  <si>
    <t>Kyrie Irving</t>
  </si>
  <si>
    <t>Blake Griffin</t>
  </si>
  <si>
    <t>LAC</t>
  </si>
  <si>
    <t>Tyreke Evans</t>
  </si>
  <si>
    <t>SAC</t>
  </si>
  <si>
    <t>Brandon Roy</t>
  </si>
  <si>
    <t>Chris Paul</t>
  </si>
  <si>
    <t>NOK</t>
  </si>
  <si>
    <t>Emeka Okafor</t>
  </si>
  <si>
    <t>CHA</t>
  </si>
  <si>
    <t>Amar'e Stoudemire</t>
  </si>
  <si>
    <t>Pau Gasol</t>
  </si>
  <si>
    <t>Mike Miller</t>
  </si>
  <si>
    <t>Steve Francis</t>
  </si>
  <si>
    <t>Elton Brand</t>
  </si>
  <si>
    <t>Vince Carter</t>
  </si>
  <si>
    <t>Damon Stoudamire</t>
  </si>
  <si>
    <t>Jason Kidd</t>
  </si>
  <si>
    <t>Grant Hill</t>
  </si>
  <si>
    <t>Chris Webber</t>
  </si>
  <si>
    <t>Larry Johnson</t>
  </si>
  <si>
    <t>CHH</t>
  </si>
  <si>
    <t>Derrick Coleman</t>
  </si>
  <si>
    <t>NJN</t>
  </si>
  <si>
    <t>Final Insights: What Defines NBA Rookie of the Year (1989–2024)</t>
  </si>
  <si>
    <t>WS vs WS/48: Total Impact vs Per-Minute Efficiency</t>
  </si>
  <si>
    <t>Final Insights: How NBA Awards Have Evolved (1989–2024)</t>
  </si>
  <si>
    <t>Key Takeaways (MVP vs DPOY vs ROY)</t>
  </si>
  <si>
    <t>• MVP shows a long-term increase in scoring (PTS) and shooting efficiency (FG%)</t>
  </si>
  <si>
    <t>• MVP total impact (WS) remains stable, while WS/48 increases</t>
  </si>
  <si>
    <t>• DPOY winners show a decline in raw defensive volume</t>
  </si>
  <si>
    <r>
      <t>• ROY</t>
    </r>
    <r>
      <rPr>
        <sz val="11"/>
        <color theme="1"/>
        <rFont val="Calibri"/>
        <family val="2"/>
        <scheme val="minor"/>
      </rPr>
      <t xml:space="preserve"> shows a consistent decline in both </t>
    </r>
    <r>
      <rPr>
        <b/>
        <sz val="11"/>
        <color theme="1"/>
        <rFont val="Calibri"/>
        <family val="2"/>
        <scheme val="minor"/>
      </rPr>
      <t>WS</t>
    </r>
    <r>
      <rPr>
        <sz val="11"/>
        <color theme="1"/>
        <rFont val="Calibri"/>
        <family val="2"/>
        <scheme val="minor"/>
      </rPr>
      <t xml:space="preserve"> and </t>
    </r>
    <r>
      <rPr>
        <b/>
        <sz val="11"/>
        <color theme="1"/>
        <rFont val="Calibri"/>
        <family val="2"/>
        <scheme val="minor"/>
      </rPr>
      <t>WS/48</t>
    </r>
    <r>
      <rPr>
        <sz val="11"/>
        <color theme="1"/>
        <rFont val="Calibri"/>
        <family val="2"/>
        <scheme val="minor"/>
      </rPr>
      <t>, suggesting modern rookies contribute less immediate impact and are integrated more gradually.</t>
    </r>
  </si>
  <si>
    <r>
      <t xml:space="preserve">• </t>
    </r>
    <r>
      <rPr>
        <b/>
        <sz val="11"/>
        <color theme="1"/>
        <rFont val="Calibri"/>
        <family val="2"/>
        <scheme val="minor"/>
      </rPr>
      <t>Despite</t>
    </r>
    <r>
      <rPr>
        <sz val="11"/>
        <color theme="1"/>
        <rFont val="Calibri"/>
        <family val="2"/>
        <scheme val="minor"/>
      </rPr>
      <t xml:space="preserve"> lower total accumulation, </t>
    </r>
    <r>
      <rPr>
        <b/>
        <sz val="11"/>
        <color theme="1"/>
        <rFont val="Calibri"/>
        <family val="2"/>
        <scheme val="minor"/>
      </rPr>
      <t>DPOY WS/48 remains stable or slightly increases</t>
    </r>
    <r>
      <rPr>
        <sz val="11"/>
        <color theme="1"/>
        <rFont val="Calibri"/>
        <family val="2"/>
        <scheme val="minor"/>
      </rPr>
      <t xml:space="preserve">, indicating modern defensive excellence is increasingly </t>
    </r>
    <r>
      <rPr>
        <b/>
        <sz val="11"/>
        <color theme="1"/>
        <rFont val="Calibri"/>
        <family val="2"/>
        <scheme val="minor"/>
      </rPr>
      <t>efficiency-driven</t>
    </r>
    <r>
      <rPr>
        <sz val="11"/>
        <color theme="1"/>
        <rFont val="Calibri"/>
        <family val="2"/>
        <scheme val="minor"/>
      </rPr>
      <t>.</t>
    </r>
  </si>
  <si>
    <r>
      <t xml:space="preserve">• </t>
    </r>
    <r>
      <rPr>
        <b/>
        <sz val="11"/>
        <color theme="1"/>
        <rFont val="Calibri"/>
        <family val="2"/>
        <scheme val="minor"/>
      </rPr>
      <t>Across</t>
    </r>
    <r>
      <rPr>
        <sz val="11"/>
        <color theme="1"/>
        <rFont val="Calibri"/>
        <family val="2"/>
        <scheme val="minor"/>
      </rPr>
      <t xml:space="preserve"> all awards, the league shifts from </t>
    </r>
    <r>
      <rPr>
        <b/>
        <sz val="11"/>
        <color theme="1"/>
        <rFont val="Calibri"/>
        <family val="2"/>
        <scheme val="minor"/>
      </rPr>
      <t>volume-based dominance</t>
    </r>
    <r>
      <rPr>
        <sz val="11"/>
        <color theme="1"/>
        <rFont val="Calibri"/>
        <family val="2"/>
        <scheme val="minor"/>
      </rPr>
      <t xml:space="preserve"> toward </t>
    </r>
    <r>
      <rPr>
        <b/>
        <sz val="11"/>
        <color theme="1"/>
        <rFont val="Calibri"/>
        <family val="2"/>
        <scheme val="minor"/>
      </rPr>
      <t>optimized, context-driven performance</t>
    </r>
    <r>
      <rPr>
        <sz val="11"/>
        <color theme="1"/>
        <rFont val="Calibri"/>
        <family val="2"/>
        <scheme val="minor"/>
      </rPr>
      <t>, rewarding efficiency, role fit, and long-term value.</t>
    </r>
  </si>
  <si>
    <t>Key Takeaways (MVP)</t>
  </si>
  <si>
    <t>• MVPs show a long-term increase in scoring (PTS) and shooting efficiency (FG%), reinforcing offensive efficiency as a defining criterion.</t>
  </si>
  <si>
    <t>• Total impact measured by Win Shares (WS) remains relatively stable across decades.</t>
  </si>
  <si>
    <t>• Win Shares per 48 minutes (WS/48) show a clear upward trend, indicating higher per-minute value.</t>
  </si>
  <si>
    <t>• This shift suggests modern MVPs deliver elite impact through efficiency rather than sheer seasonal volume.</t>
  </si>
  <si>
    <t>• MVP evaluation criteria have evolved to emphasize efficiency, context, and role optimization over raw volume.</t>
  </si>
  <si>
    <t>Key Takeaways (DPOY)</t>
  </si>
  <si>
    <t>• DPOY winners show high volatility in total defensive impact (WS), reflecting changes in role, team context, and defensive schemes.</t>
  </si>
  <si>
    <t>• Defensive Win Shares per 48 minutes (WS/48) remain more stable across decades and show a mild upward trend.</t>
  </si>
  <si>
    <t>• This indicates that modern defensive excellence is increasingly driven by per-minute efficiency rather than total seasonal accumulation.</t>
  </si>
  <si>
    <t>• Changes in pace, specialization, and optimized defensive usage reduce the need for high-volume defensive workloads.</t>
  </si>
  <si>
    <t>• DPOY evaluation has shifted toward recognizing efficient, role-specific defensive impact within structured team systems.</t>
  </si>
  <si>
    <t>Key Takeaways (ROY)</t>
  </si>
  <si>
    <t>• Earlier ROY winners accumulated higher total value and delivered stronger immediate responsibility within team systems.</t>
  </si>
  <si>
    <t>• Modern ROY winners tend to contribute less immediate impact and are integrated more gradually.</t>
  </si>
  <si>
    <t>• ROY evaluation has shifted toward recognizing long-term potential and development trajectory rather than short-term impact.</t>
  </si>
  <si>
    <t>• ROY winners show a long-term decline in both total impact (WS) and per-minute efficiency (WS/48), indicating reduced immediate on-court responsibility.</t>
  </si>
  <si>
    <t>• Controlled minutes, specialized roles, and development-focused usage reduce early statistical dominance.</t>
  </si>
  <si>
    <r>
      <t xml:space="preserve">•  MVP winners show a clear long-term increase in </t>
    </r>
    <r>
      <rPr>
        <b/>
        <sz val="11"/>
        <color theme="1"/>
        <rFont val="Calibri"/>
        <family val="2"/>
        <scheme val="minor"/>
      </rPr>
      <t>scoring (PTS)</t>
    </r>
    <r>
      <rPr>
        <sz val="11"/>
        <color theme="1"/>
        <rFont val="Calibri"/>
        <family val="2"/>
        <scheme val="minor"/>
      </rPr>
      <t xml:space="preserve"> and </t>
    </r>
    <r>
      <rPr>
        <b/>
        <sz val="11"/>
        <color theme="1"/>
        <rFont val="Calibri"/>
        <family val="2"/>
        <scheme val="minor"/>
      </rPr>
      <t>shooting efficiency (FG%)</t>
    </r>
    <r>
      <rPr>
        <sz val="11"/>
        <color theme="1"/>
        <rFont val="Calibri"/>
        <family val="2"/>
        <scheme val="minor"/>
      </rPr>
      <t>, indicating that offensive dominance has become more efficiency-driven over time.</t>
    </r>
  </si>
  <si>
    <r>
      <t xml:space="preserve">•  While total impact (Win Shares) remains relatively stable across eras, </t>
    </r>
    <r>
      <rPr>
        <b/>
        <sz val="11"/>
        <color theme="1"/>
        <rFont val="Calibri"/>
        <family val="2"/>
        <scheme val="minor"/>
      </rPr>
      <t>Win Shares per 48 minutes (WS/48) increases</t>
    </r>
    <r>
      <rPr>
        <sz val="11"/>
        <color theme="1"/>
        <rFont val="Calibri"/>
        <family val="2"/>
        <scheme val="minor"/>
      </rPr>
      <t>, suggesting modern MVPs generate more value per minute rather than through sheer volume.</t>
    </r>
  </si>
  <si>
    <r>
      <rPr>
        <b/>
        <sz val="11"/>
        <color theme="1"/>
        <rFont val="Calibri"/>
        <family val="2"/>
        <scheme val="minor"/>
      </rPr>
      <t xml:space="preserve">Production: </t>
    </r>
    <r>
      <rPr>
        <sz val="11"/>
        <color theme="1"/>
        <rFont val="Calibri"/>
        <family val="2"/>
        <scheme val="minor"/>
      </rPr>
      <t>PTS, TRB, AST</t>
    </r>
  </si>
  <si>
    <r>
      <rPr>
        <b/>
        <sz val="11"/>
        <color theme="1"/>
        <rFont val="Calibri"/>
        <family val="2"/>
        <scheme val="minor"/>
      </rPr>
      <t>Defense:</t>
    </r>
    <r>
      <rPr>
        <sz val="11"/>
        <color theme="1"/>
        <rFont val="Calibri"/>
        <family val="2"/>
        <scheme val="minor"/>
      </rPr>
      <t xml:space="preserve"> STL, BLK</t>
    </r>
  </si>
  <si>
    <r>
      <rPr>
        <b/>
        <sz val="11"/>
        <color theme="1"/>
        <rFont val="Calibri"/>
        <family val="2"/>
        <scheme val="minor"/>
      </rPr>
      <t>Efficiency:</t>
    </r>
    <r>
      <rPr>
        <sz val="11"/>
        <color theme="1"/>
        <rFont val="Calibri"/>
        <family val="2"/>
        <scheme val="minor"/>
      </rPr>
      <t xml:space="preserve"> FG%</t>
    </r>
  </si>
  <si>
    <r>
      <rPr>
        <b/>
        <sz val="11"/>
        <color theme="1"/>
        <rFont val="Calibri"/>
        <family val="2"/>
        <scheme val="minor"/>
      </rPr>
      <t>Impact:</t>
    </r>
    <r>
      <rPr>
        <sz val="11"/>
        <color theme="1"/>
        <rFont val="Calibri"/>
        <family val="2"/>
        <scheme val="minor"/>
      </rPr>
      <t xml:space="preserve"> WS, WS/48</t>
    </r>
  </si>
  <si>
    <t>Metric</t>
  </si>
  <si>
    <t>Correlation with WS</t>
  </si>
  <si>
    <t>Correlation with WS/48</t>
  </si>
  <si>
    <t>Max Oppermann</t>
  </si>
  <si>
    <t>Data: 24/12/2025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</si>
</sst>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1" fontId="0" fillId="0" borderId="0" xfId="0" applyNumberFormat="1"/>
    <xf numFmtId="1" fontId="0" fillId="0" borderId="0" xfId="0" applyNumberFormat="1" applyAlignment="1">
      <alignment horizontal="left"/>
    </xf>
    <xf numFmtId="0" fontId="1" fillId="0" borderId="0" xfId="0" applyFont="1" applyAlignment="1">
      <alignment horizontal="center"/>
    </xf>
    <xf numFmtId="0" fontId="1" fillId="0" borderId="0" xfId="0" applyFont="1"/>
    <xf numFmtId="2" fontId="0" fillId="0" borderId="0" xfId="0" applyNumberFormat="1"/>
    <xf numFmtId="164" fontId="0" fillId="0" borderId="0" xfId="0" applyNumberFormat="1"/>
    <xf numFmtId="165" fontId="0" fillId="0" borderId="0" xfId="0" applyNumberFormat="1"/>
    <xf numFmtId="0" fontId="3" fillId="0" borderId="0" xfId="0" applyFont="1" applyAlignment="1">
      <alignment horizontal="center"/>
    </xf>
    <xf numFmtId="0" fontId="4" fillId="0" borderId="0" xfId="0" applyFont="1"/>
    <xf numFmtId="0" fontId="5" fillId="0" borderId="0" xfId="0" applyFont="1"/>
    <xf numFmtId="0" fontId="3" fillId="0" borderId="0" xfId="0" applyFont="1"/>
    <xf numFmtId="2" fontId="0" fillId="0" borderId="0" xfId="0" applyNumberFormat="1" applyAlignment="1">
      <alignment horizontal="center" vertical="center"/>
    </xf>
    <xf numFmtId="0" fontId="3" fillId="0" borderId="0" xfId="0" applyFont="1" applyAlignment="1">
      <alignment horizontal="center"/>
    </xf>
    <xf numFmtId="0" fontId="1" fillId="0" borderId="0" xfId="0" applyFont="1" applyAlignment="1">
      <alignment horizontal="center"/>
    </xf>
  </cellXfs>
  <cellStyles count="1">
    <cellStyle name="Normal" xfId="0" builtinId="0"/>
  </cellStyles>
  <dxfs count="52">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2" formatCode="0.00"/>
    </dxf>
    <dxf>
      <numFmt numFmtId="2" formatCode="0.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0.000"/>
    </dxf>
    <dxf>
      <numFmt numFmtId="165" formatCode="0.0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 formatCode="0"/>
    </dxf>
    <dxf>
      <numFmt numFmtId="0" formatCode="General"/>
    </dxf>
    <dxf>
      <numFmt numFmtId="165" formatCode="0.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65" formatCode="0.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165" formatCode="0.0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Points per Game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MVP_Decade_Summary!$B$4:$B$7</c:f>
              <c:numCache>
                <c:formatCode>General</c:formatCode>
                <c:ptCount val="4"/>
                <c:pt idx="0">
                  <c:v>27.47</c:v>
                </c:pt>
                <c:pt idx="1">
                  <c:v>24.94</c:v>
                </c:pt>
                <c:pt idx="2">
                  <c:v>28.419999999999998</c:v>
                </c:pt>
                <c:pt idx="3">
                  <c:v>29.200000000000003</c:v>
                </c:pt>
              </c:numCache>
            </c:numRef>
          </c:val>
          <c:extLst>
            <c:ext xmlns:c16="http://schemas.microsoft.com/office/drawing/2014/chart" uri="{C3380CC4-5D6E-409C-BE32-E72D297353CC}">
              <c16:uniqueId val="{00000000-A47E-455B-A8F2-E2F9E2C2A5C6}"/>
            </c:ext>
          </c:extLst>
        </c:ser>
        <c:dLbls>
          <c:showLegendKey val="0"/>
          <c:showVal val="0"/>
          <c:showCatName val="0"/>
          <c:showSerName val="0"/>
          <c:showPercent val="0"/>
          <c:showBubbleSize val="0"/>
        </c:dLbls>
        <c:gapWidth val="219"/>
        <c:overlap val="-27"/>
        <c:axId val="501886176"/>
        <c:axId val="501885456"/>
      </c:barChart>
      <c:catAx>
        <c:axId val="50188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1885456"/>
        <c:crosses val="autoZero"/>
        <c:auto val="1"/>
        <c:lblAlgn val="ctr"/>
        <c:lblOffset val="100"/>
        <c:noMultiLvlLbl val="0"/>
      </c:catAx>
      <c:valAx>
        <c:axId val="501885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PTS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18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Field Goal Percentage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MVP_Decade_Summary!$E$4:$E$7</c:f>
              <c:numCache>
                <c:formatCode>General</c:formatCode>
                <c:ptCount val="4"/>
                <c:pt idx="0">
                  <c:v>0.51190000000000002</c:v>
                </c:pt>
                <c:pt idx="1">
                  <c:v>0.49779999999999996</c:v>
                </c:pt>
                <c:pt idx="2">
                  <c:v>0.499</c:v>
                </c:pt>
                <c:pt idx="3">
                  <c:v>0.55866666666666653</c:v>
                </c:pt>
              </c:numCache>
            </c:numRef>
          </c:val>
          <c:extLst>
            <c:ext xmlns:c16="http://schemas.microsoft.com/office/drawing/2014/chart" uri="{C3380CC4-5D6E-409C-BE32-E72D297353CC}">
              <c16:uniqueId val="{00000000-2849-488E-8FC4-2FC023479E58}"/>
            </c:ext>
          </c:extLst>
        </c:ser>
        <c:dLbls>
          <c:showLegendKey val="0"/>
          <c:showVal val="0"/>
          <c:showCatName val="0"/>
          <c:showSerName val="0"/>
          <c:showPercent val="0"/>
          <c:showBubbleSize val="0"/>
        </c:dLbls>
        <c:gapWidth val="219"/>
        <c:overlap val="-27"/>
        <c:axId val="1057820000"/>
        <c:axId val="1057816760"/>
      </c:barChart>
      <c:catAx>
        <c:axId val="10578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7816760"/>
        <c:crosses val="autoZero"/>
        <c:auto val="1"/>
        <c:lblAlgn val="ctr"/>
        <c:lblOffset val="100"/>
        <c:noMultiLvlLbl val="0"/>
      </c:catAx>
      <c:valAx>
        <c:axId val="1057816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FG%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78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Steals per Game by Decade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DPOY_Decade_Summary!$C$2:$C$5</c:f>
              <c:numCache>
                <c:formatCode>General</c:formatCode>
                <c:ptCount val="4"/>
                <c:pt idx="0">
                  <c:v>1.2200000000000002</c:v>
                </c:pt>
                <c:pt idx="1">
                  <c:v>1.2899999999999998</c:v>
                </c:pt>
                <c:pt idx="2">
                  <c:v>1.31</c:v>
                </c:pt>
                <c:pt idx="3">
                  <c:v>0.98333333333333328</c:v>
                </c:pt>
              </c:numCache>
            </c:numRef>
          </c:val>
          <c:extLst>
            <c:ext xmlns:c16="http://schemas.microsoft.com/office/drawing/2014/chart" uri="{C3380CC4-5D6E-409C-BE32-E72D297353CC}">
              <c16:uniqueId val="{00000000-154D-437F-BF24-16E42514C185}"/>
            </c:ext>
          </c:extLst>
        </c:ser>
        <c:dLbls>
          <c:showLegendKey val="0"/>
          <c:showVal val="0"/>
          <c:showCatName val="0"/>
          <c:showSerName val="0"/>
          <c:showPercent val="0"/>
          <c:showBubbleSize val="0"/>
        </c:dLbls>
        <c:gapWidth val="219"/>
        <c:overlap val="-27"/>
        <c:axId val="25112023"/>
        <c:axId val="25104823"/>
      </c:barChart>
      <c:catAx>
        <c:axId val="25112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104823"/>
        <c:crosses val="autoZero"/>
        <c:auto val="1"/>
        <c:lblAlgn val="ctr"/>
        <c:lblOffset val="100"/>
        <c:noMultiLvlLbl val="0"/>
      </c:catAx>
      <c:valAx>
        <c:axId val="25104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Steals per Game (STL)</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112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Rebounds per Game by Decade</a:t>
            </a:r>
            <a:endParaRPr lang="pt-BR"/>
          </a:p>
        </c:rich>
      </c:tx>
      <c:layout>
        <c:manualLayout>
          <c:xMode val="edge"/>
          <c:yMode val="edge"/>
          <c:x val="0.167222222222222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DPOY_Decade_Summary!$B$2:$B$5</c:f>
              <c:numCache>
                <c:formatCode>General</c:formatCode>
                <c:ptCount val="4"/>
                <c:pt idx="0">
                  <c:v>11</c:v>
                </c:pt>
                <c:pt idx="1">
                  <c:v>11.49</c:v>
                </c:pt>
                <c:pt idx="2">
                  <c:v>10.18</c:v>
                </c:pt>
                <c:pt idx="3">
                  <c:v>9.9833333333333343</c:v>
                </c:pt>
              </c:numCache>
            </c:numRef>
          </c:val>
          <c:extLst>
            <c:ext xmlns:c16="http://schemas.microsoft.com/office/drawing/2014/chart" uri="{C3380CC4-5D6E-409C-BE32-E72D297353CC}">
              <c16:uniqueId val="{00000000-D9E5-459D-8989-B6C759A243D7}"/>
            </c:ext>
          </c:extLst>
        </c:ser>
        <c:dLbls>
          <c:showLegendKey val="0"/>
          <c:showVal val="0"/>
          <c:showCatName val="0"/>
          <c:showSerName val="0"/>
          <c:showPercent val="0"/>
          <c:showBubbleSize val="0"/>
        </c:dLbls>
        <c:gapWidth val="219"/>
        <c:overlap val="-27"/>
        <c:axId val="2096064120"/>
        <c:axId val="2096064840"/>
      </c:barChart>
      <c:catAx>
        <c:axId val="2096064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6064840"/>
        <c:crosses val="autoZero"/>
        <c:auto val="1"/>
        <c:lblAlgn val="ctr"/>
        <c:lblOffset val="100"/>
        <c:noMultiLvlLbl val="0"/>
      </c:catAx>
      <c:valAx>
        <c:axId val="2096064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Rebounds per Game (TRB)</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6064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Blocks per Game by Decade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DPOY_Decade_Summary!$D$2:$D$5</c:f>
              <c:numCache>
                <c:formatCode>General</c:formatCode>
                <c:ptCount val="4"/>
                <c:pt idx="0">
                  <c:v>2.8499999999999996</c:v>
                </c:pt>
                <c:pt idx="1">
                  <c:v>2.59</c:v>
                </c:pt>
                <c:pt idx="2">
                  <c:v>1.7600000000000002</c:v>
                </c:pt>
                <c:pt idx="3">
                  <c:v>1.7833333333333332</c:v>
                </c:pt>
              </c:numCache>
            </c:numRef>
          </c:val>
          <c:extLst>
            <c:ext xmlns:c16="http://schemas.microsoft.com/office/drawing/2014/chart" uri="{C3380CC4-5D6E-409C-BE32-E72D297353CC}">
              <c16:uniqueId val="{00000000-6726-472A-B067-DBB3CA67F9AD}"/>
            </c:ext>
          </c:extLst>
        </c:ser>
        <c:dLbls>
          <c:showLegendKey val="0"/>
          <c:showVal val="0"/>
          <c:showCatName val="0"/>
          <c:showSerName val="0"/>
          <c:showPercent val="0"/>
          <c:showBubbleSize val="0"/>
        </c:dLbls>
        <c:gapWidth val="219"/>
        <c:overlap val="-27"/>
        <c:axId val="1114835240"/>
        <c:axId val="1114838120"/>
      </c:barChart>
      <c:catAx>
        <c:axId val="111483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4838120"/>
        <c:crosses val="autoZero"/>
        <c:auto val="1"/>
        <c:lblAlgn val="ctr"/>
        <c:lblOffset val="100"/>
        <c:noMultiLvlLbl val="0"/>
      </c:catAx>
      <c:valAx>
        <c:axId val="1114838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Blocks per Game (BLK)</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4835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ROY Average Win Shares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ROY_Decade_Summary!$A$2:$A$5</c:f>
              <c:strCache>
                <c:ptCount val="4"/>
                <c:pt idx="0">
                  <c:v>1989-1998</c:v>
                </c:pt>
                <c:pt idx="1">
                  <c:v>1999-2008</c:v>
                </c:pt>
                <c:pt idx="2">
                  <c:v>2009-2018</c:v>
                </c:pt>
                <c:pt idx="3">
                  <c:v>2019-2028</c:v>
                </c:pt>
              </c:strCache>
            </c:strRef>
          </c:cat>
          <c:val>
            <c:numRef>
              <c:f>ROY_Decade_Summary!$B$2:$B$5</c:f>
              <c:numCache>
                <c:formatCode>0.0</c:formatCode>
                <c:ptCount val="4"/>
                <c:pt idx="0">
                  <c:v>7.5727272727272714</c:v>
                </c:pt>
                <c:pt idx="1">
                  <c:v>5.8636363636363633</c:v>
                </c:pt>
                <c:pt idx="2">
                  <c:v>5.5000000000000009</c:v>
                </c:pt>
                <c:pt idx="3">
                  <c:v>3.4000000000000004</c:v>
                </c:pt>
              </c:numCache>
            </c:numRef>
          </c:val>
          <c:extLst>
            <c:ext xmlns:c16="http://schemas.microsoft.com/office/drawing/2014/chart" uri="{C3380CC4-5D6E-409C-BE32-E72D297353CC}">
              <c16:uniqueId val="{00000000-DF21-486F-8EA3-DC3B80816CF7}"/>
            </c:ext>
          </c:extLst>
        </c:ser>
        <c:dLbls>
          <c:showLegendKey val="0"/>
          <c:showVal val="0"/>
          <c:showCatName val="0"/>
          <c:showSerName val="0"/>
          <c:showPercent val="0"/>
          <c:showBubbleSize val="0"/>
        </c:dLbls>
        <c:gapWidth val="219"/>
        <c:overlap val="-27"/>
        <c:axId val="502216904"/>
        <c:axId val="502217264"/>
      </c:barChart>
      <c:catAx>
        <c:axId val="50221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2217264"/>
        <c:crosses val="autoZero"/>
        <c:auto val="1"/>
        <c:lblAlgn val="ctr"/>
        <c:lblOffset val="100"/>
        <c:noMultiLvlLbl val="0"/>
      </c:catAx>
      <c:valAx>
        <c:axId val="50221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2216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ROY Average WS per 48 Minutes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ROY_Decade_Summary!$A$2:$A$5</c:f>
              <c:strCache>
                <c:ptCount val="4"/>
                <c:pt idx="0">
                  <c:v>1989-1998</c:v>
                </c:pt>
                <c:pt idx="1">
                  <c:v>1999-2008</c:v>
                </c:pt>
                <c:pt idx="2">
                  <c:v>2009-2018</c:v>
                </c:pt>
                <c:pt idx="3">
                  <c:v>2019-2028</c:v>
                </c:pt>
              </c:strCache>
            </c:strRef>
          </c:cat>
          <c:val>
            <c:numRef>
              <c:f>ROY_Decade_Summary!$C$2:$C$5</c:f>
              <c:numCache>
                <c:formatCode>0.000</c:formatCode>
                <c:ptCount val="4"/>
                <c:pt idx="0">
                  <c:v>0.13036363636363638</c:v>
                </c:pt>
                <c:pt idx="1">
                  <c:v>0.10336363636363637</c:v>
                </c:pt>
                <c:pt idx="2">
                  <c:v>0.1036</c:v>
                </c:pt>
                <c:pt idx="3">
                  <c:v>7.6666666666666661E-2</c:v>
                </c:pt>
              </c:numCache>
            </c:numRef>
          </c:val>
          <c:extLst>
            <c:ext xmlns:c16="http://schemas.microsoft.com/office/drawing/2014/chart" uri="{C3380CC4-5D6E-409C-BE32-E72D297353CC}">
              <c16:uniqueId val="{00000000-B422-45A5-9CBE-8DAFFAC10960}"/>
            </c:ext>
          </c:extLst>
        </c:ser>
        <c:dLbls>
          <c:showLegendKey val="0"/>
          <c:showVal val="0"/>
          <c:showCatName val="0"/>
          <c:showSerName val="0"/>
          <c:showPercent val="0"/>
          <c:showBubbleSize val="0"/>
        </c:dLbls>
        <c:gapWidth val="219"/>
        <c:overlap val="-27"/>
        <c:axId val="1055382128"/>
        <c:axId val="583183376"/>
      </c:barChart>
      <c:catAx>
        <c:axId val="10553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3183376"/>
        <c:crosses val="autoZero"/>
        <c:auto val="1"/>
        <c:lblAlgn val="ctr"/>
        <c:lblOffset val="100"/>
        <c:noMultiLvlLbl val="0"/>
      </c:catAx>
      <c:valAx>
        <c:axId val="58318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WS/48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5382128"/>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[NBA_Awards_Analysis_1989_2024_FINAL.xlsx - Copia.xlsx]ROY_Decade_Summary!Tabela dinâmica11</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ROY_Decade_Summary!$B$1</c:f>
              <c:strCache>
                <c:ptCount val="1"/>
                <c:pt idx="0">
                  <c:v>Média de WS</c:v>
                </c:pt>
              </c:strCache>
            </c:strRef>
          </c:tx>
          <c:spPr>
            <a:solidFill>
              <a:schemeClr val="accent1"/>
            </a:solidFill>
            <a:ln>
              <a:noFill/>
            </a:ln>
            <a:effectLst/>
          </c:spPr>
          <c:invertIfNegative val="0"/>
          <c:cat>
            <c:strRef>
              <c:f>ROY_Decade_Summary!$A$2:$A$6</c:f>
              <c:strCache>
                <c:ptCount val="4"/>
                <c:pt idx="0">
                  <c:v>1989-1998</c:v>
                </c:pt>
                <c:pt idx="1">
                  <c:v>1999-2008</c:v>
                </c:pt>
                <c:pt idx="2">
                  <c:v>2009-2018</c:v>
                </c:pt>
                <c:pt idx="3">
                  <c:v>2019-2028</c:v>
                </c:pt>
              </c:strCache>
            </c:strRef>
          </c:cat>
          <c:val>
            <c:numRef>
              <c:f>ROY_Decade_Summary!$B$2:$B$6</c:f>
              <c:numCache>
                <c:formatCode>0.0</c:formatCode>
                <c:ptCount val="4"/>
                <c:pt idx="0">
                  <c:v>7.5727272727272714</c:v>
                </c:pt>
                <c:pt idx="1">
                  <c:v>5.8636363636363633</c:v>
                </c:pt>
                <c:pt idx="2">
                  <c:v>5.5000000000000009</c:v>
                </c:pt>
                <c:pt idx="3">
                  <c:v>3.4000000000000004</c:v>
                </c:pt>
              </c:numCache>
            </c:numRef>
          </c:val>
          <c:extLst>
            <c:ext xmlns:c16="http://schemas.microsoft.com/office/drawing/2014/chart" uri="{C3380CC4-5D6E-409C-BE32-E72D297353CC}">
              <c16:uniqueId val="{00000000-04E1-42E0-A56C-EE5C87FF2F9E}"/>
            </c:ext>
          </c:extLst>
        </c:ser>
        <c:dLbls>
          <c:showLegendKey val="0"/>
          <c:showVal val="0"/>
          <c:showCatName val="0"/>
          <c:showSerName val="0"/>
          <c:showPercent val="0"/>
          <c:showBubbleSize val="0"/>
        </c:dLbls>
        <c:gapWidth val="150"/>
        <c:axId val="1058370984"/>
        <c:axId val="1058372424"/>
      </c:barChart>
      <c:lineChart>
        <c:grouping val="standard"/>
        <c:varyColors val="0"/>
        <c:ser>
          <c:idx val="1"/>
          <c:order val="1"/>
          <c:tx>
            <c:strRef>
              <c:f>ROY_Decade_Summary!$C$1</c:f>
              <c:strCache>
                <c:ptCount val="1"/>
                <c:pt idx="0">
                  <c:v>Média de WS/48</c:v>
                </c:pt>
              </c:strCache>
            </c:strRef>
          </c:tx>
          <c:spPr>
            <a:ln w="25400" cap="rnd">
              <a:solidFill>
                <a:schemeClr val="accent2"/>
              </a:solidFill>
              <a:round/>
            </a:ln>
            <a:effectLst/>
          </c:spPr>
          <c:marker>
            <c:symbol val="none"/>
          </c:marker>
          <c:cat>
            <c:strRef>
              <c:f>ROY_Decade_Summary!$A$2:$A$6</c:f>
              <c:strCache>
                <c:ptCount val="4"/>
                <c:pt idx="0">
                  <c:v>1989-1998</c:v>
                </c:pt>
                <c:pt idx="1">
                  <c:v>1999-2008</c:v>
                </c:pt>
                <c:pt idx="2">
                  <c:v>2009-2018</c:v>
                </c:pt>
                <c:pt idx="3">
                  <c:v>2019-2028</c:v>
                </c:pt>
              </c:strCache>
            </c:strRef>
          </c:cat>
          <c:val>
            <c:numRef>
              <c:f>ROY_Decade_Summary!$C$2:$C$6</c:f>
              <c:numCache>
                <c:formatCode>0.000</c:formatCode>
                <c:ptCount val="4"/>
                <c:pt idx="0">
                  <c:v>0.13036363636363638</c:v>
                </c:pt>
                <c:pt idx="1">
                  <c:v>0.10336363636363637</c:v>
                </c:pt>
                <c:pt idx="2">
                  <c:v>0.1036</c:v>
                </c:pt>
                <c:pt idx="3">
                  <c:v>7.6666666666666661E-2</c:v>
                </c:pt>
              </c:numCache>
            </c:numRef>
          </c:val>
          <c:smooth val="0"/>
          <c:extLst>
            <c:ext xmlns:c16="http://schemas.microsoft.com/office/drawing/2014/chart" uri="{C3380CC4-5D6E-409C-BE32-E72D297353CC}">
              <c16:uniqueId val="{00000001-04E1-42E0-A56C-EE5C87FF2F9E}"/>
            </c:ext>
          </c:extLst>
        </c:ser>
        <c:dLbls>
          <c:showLegendKey val="0"/>
          <c:showVal val="0"/>
          <c:showCatName val="0"/>
          <c:showSerName val="0"/>
          <c:showPercent val="0"/>
          <c:showBubbleSize val="0"/>
        </c:dLbls>
        <c:marker val="1"/>
        <c:smooth val="0"/>
        <c:axId val="2142491952"/>
        <c:axId val="1237170088"/>
      </c:lineChart>
      <c:catAx>
        <c:axId val="105837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8372424"/>
        <c:crosses val="autoZero"/>
        <c:auto val="1"/>
        <c:lblAlgn val="ctr"/>
        <c:lblOffset val="100"/>
        <c:noMultiLvlLbl val="0"/>
      </c:catAx>
      <c:valAx>
        <c:axId val="1058372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8370984"/>
        <c:crosses val="autoZero"/>
        <c:crossBetween val="between"/>
      </c:valAx>
      <c:valAx>
        <c:axId val="1237170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WS/48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42491952"/>
        <c:crosses val="max"/>
        <c:crossBetween val="between"/>
      </c:valAx>
      <c:catAx>
        <c:axId val="2142491952"/>
        <c:scaling>
          <c:orientation val="minMax"/>
        </c:scaling>
        <c:delete val="1"/>
        <c:axPos val="b"/>
        <c:numFmt formatCode="General" sourceLinked="1"/>
        <c:majorTickMark val="out"/>
        <c:minorTickMark val="none"/>
        <c:tickLblPos val="nextTo"/>
        <c:crossAx val="1237170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Points per Game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MVP_Decade_Summary!$B$4:$B$7</c:f>
              <c:numCache>
                <c:formatCode>General</c:formatCode>
                <c:ptCount val="4"/>
                <c:pt idx="0">
                  <c:v>27.47</c:v>
                </c:pt>
                <c:pt idx="1">
                  <c:v>24.94</c:v>
                </c:pt>
                <c:pt idx="2">
                  <c:v>28.419999999999998</c:v>
                </c:pt>
                <c:pt idx="3">
                  <c:v>29.200000000000003</c:v>
                </c:pt>
              </c:numCache>
            </c:numRef>
          </c:val>
          <c:extLst>
            <c:ext xmlns:c16="http://schemas.microsoft.com/office/drawing/2014/chart" uri="{C3380CC4-5D6E-409C-BE32-E72D297353CC}">
              <c16:uniqueId val="{00000000-89EE-4025-894F-DCEDA33E3F7D}"/>
            </c:ext>
          </c:extLst>
        </c:ser>
        <c:dLbls>
          <c:showLegendKey val="0"/>
          <c:showVal val="0"/>
          <c:showCatName val="0"/>
          <c:showSerName val="0"/>
          <c:showPercent val="0"/>
          <c:showBubbleSize val="0"/>
        </c:dLbls>
        <c:gapWidth val="219"/>
        <c:overlap val="-27"/>
        <c:axId val="501886176"/>
        <c:axId val="501885456"/>
      </c:barChart>
      <c:catAx>
        <c:axId val="50188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1885456"/>
        <c:crosses val="autoZero"/>
        <c:auto val="1"/>
        <c:lblAlgn val="ctr"/>
        <c:lblOffset val="100"/>
        <c:noMultiLvlLbl val="0"/>
      </c:catAx>
      <c:valAx>
        <c:axId val="501885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PTS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188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Field Goal Percentage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MVP_Decade_Summary!$E$4:$E$7</c:f>
              <c:numCache>
                <c:formatCode>General</c:formatCode>
                <c:ptCount val="4"/>
                <c:pt idx="0">
                  <c:v>0.51190000000000002</c:v>
                </c:pt>
                <c:pt idx="1">
                  <c:v>0.49779999999999996</c:v>
                </c:pt>
                <c:pt idx="2">
                  <c:v>0.499</c:v>
                </c:pt>
                <c:pt idx="3">
                  <c:v>0.55866666666666653</c:v>
                </c:pt>
              </c:numCache>
            </c:numRef>
          </c:val>
          <c:extLst>
            <c:ext xmlns:c16="http://schemas.microsoft.com/office/drawing/2014/chart" uri="{C3380CC4-5D6E-409C-BE32-E72D297353CC}">
              <c16:uniqueId val="{00000000-356D-4351-81CB-A63B765A7440}"/>
            </c:ext>
          </c:extLst>
        </c:ser>
        <c:dLbls>
          <c:showLegendKey val="0"/>
          <c:showVal val="0"/>
          <c:showCatName val="0"/>
          <c:showSerName val="0"/>
          <c:showPercent val="0"/>
          <c:showBubbleSize val="0"/>
        </c:dLbls>
        <c:gapWidth val="219"/>
        <c:overlap val="-27"/>
        <c:axId val="1057820000"/>
        <c:axId val="1057816760"/>
      </c:barChart>
      <c:catAx>
        <c:axId val="105782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7816760"/>
        <c:crosses val="autoZero"/>
        <c:auto val="1"/>
        <c:lblAlgn val="ctr"/>
        <c:lblOffset val="100"/>
        <c:noMultiLvlLbl val="0"/>
      </c:catAx>
      <c:valAx>
        <c:axId val="1057816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FG%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782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Rebounds per Game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MVP_Decade_Summary!$C$4:$C$7</c:f>
              <c:numCache>
                <c:formatCode>General</c:formatCode>
                <c:ptCount val="4"/>
                <c:pt idx="0">
                  <c:v>8.5599999999999987</c:v>
                </c:pt>
                <c:pt idx="1">
                  <c:v>8.7199999999999989</c:v>
                </c:pt>
                <c:pt idx="2">
                  <c:v>7.2999999999999989</c:v>
                </c:pt>
                <c:pt idx="3">
                  <c:v>10.966666666666667</c:v>
                </c:pt>
              </c:numCache>
            </c:numRef>
          </c:val>
          <c:extLst>
            <c:ext xmlns:c16="http://schemas.microsoft.com/office/drawing/2014/chart" uri="{C3380CC4-5D6E-409C-BE32-E72D297353CC}">
              <c16:uniqueId val="{00000000-BCCD-4243-BA54-E7C3F8D7AF63}"/>
            </c:ext>
          </c:extLst>
        </c:ser>
        <c:dLbls>
          <c:showLegendKey val="0"/>
          <c:showVal val="0"/>
          <c:showCatName val="0"/>
          <c:showSerName val="0"/>
          <c:showPercent val="0"/>
          <c:showBubbleSize val="0"/>
        </c:dLbls>
        <c:gapWidth val="219"/>
        <c:overlap val="-27"/>
        <c:axId val="1111943224"/>
        <c:axId val="1111942144"/>
      </c:barChart>
      <c:catAx>
        <c:axId val="1111943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1942144"/>
        <c:crosses val="autoZero"/>
        <c:auto val="1"/>
        <c:lblAlgn val="ctr"/>
        <c:lblOffset val="100"/>
        <c:noMultiLvlLbl val="0"/>
      </c:catAx>
      <c:valAx>
        <c:axId val="1111942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TRB</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1943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Average Assists per Game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MVP_Decade_Summary!$A$4:$A$7</c:f>
              <c:strCache>
                <c:ptCount val="4"/>
                <c:pt idx="0">
                  <c:v>1989-1999</c:v>
                </c:pt>
                <c:pt idx="1">
                  <c:v>1999-2009</c:v>
                </c:pt>
                <c:pt idx="2">
                  <c:v>2009-2019</c:v>
                </c:pt>
                <c:pt idx="3">
                  <c:v>2019-2029</c:v>
                </c:pt>
              </c:strCache>
            </c:strRef>
          </c:cat>
          <c:val>
            <c:numRef>
              <c:f>MVP_Decade_Summary!$D$4:$D$7</c:f>
              <c:numCache>
                <c:formatCode>General</c:formatCode>
                <c:ptCount val="4"/>
                <c:pt idx="0">
                  <c:v>5.1100000000000003</c:v>
                </c:pt>
                <c:pt idx="1">
                  <c:v>5.9</c:v>
                </c:pt>
                <c:pt idx="2">
                  <c:v>7.4799999999999995</c:v>
                </c:pt>
                <c:pt idx="3">
                  <c:v>6.8999999999999995</c:v>
                </c:pt>
              </c:numCache>
            </c:numRef>
          </c:val>
          <c:extLst>
            <c:ext xmlns:c16="http://schemas.microsoft.com/office/drawing/2014/chart" uri="{C3380CC4-5D6E-409C-BE32-E72D297353CC}">
              <c16:uniqueId val="{00000000-C02B-410D-9427-25CEE19CAAC5}"/>
            </c:ext>
          </c:extLst>
        </c:ser>
        <c:dLbls>
          <c:showLegendKey val="0"/>
          <c:showVal val="0"/>
          <c:showCatName val="0"/>
          <c:showSerName val="0"/>
          <c:showPercent val="0"/>
          <c:showBubbleSize val="0"/>
        </c:dLbls>
        <c:gapWidth val="219"/>
        <c:overlap val="-27"/>
        <c:axId val="1127638928"/>
        <c:axId val="1127639648"/>
      </c:barChart>
      <c:catAx>
        <c:axId val="112763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27639648"/>
        <c:crosses val="autoZero"/>
        <c:auto val="1"/>
        <c:lblAlgn val="ctr"/>
        <c:lblOffset val="100"/>
        <c:noMultiLvlLbl val="0"/>
      </c:catAx>
      <c:valAx>
        <c:axId val="1127639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AST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2763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Win Shares Over Time (1989–2024)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Data_MVP!$A$2:$A$37</c:f>
              <c:numCache>
                <c:formatCode>0</c:formatCode>
                <c:ptCount val="36"/>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pt idx="15">
                  <c:v>2009</c:v>
                </c:pt>
                <c:pt idx="16">
                  <c:v>2008</c:v>
                </c:pt>
                <c:pt idx="17">
                  <c:v>2007</c:v>
                </c:pt>
                <c:pt idx="18">
                  <c:v>2006</c:v>
                </c:pt>
                <c:pt idx="19">
                  <c:v>2005</c:v>
                </c:pt>
                <c:pt idx="20">
                  <c:v>2004</c:v>
                </c:pt>
                <c:pt idx="21">
                  <c:v>2003</c:v>
                </c:pt>
                <c:pt idx="22">
                  <c:v>2002</c:v>
                </c:pt>
                <c:pt idx="23">
                  <c:v>2001</c:v>
                </c:pt>
                <c:pt idx="24">
                  <c:v>2000</c:v>
                </c:pt>
                <c:pt idx="25">
                  <c:v>1999</c:v>
                </c:pt>
                <c:pt idx="26">
                  <c:v>1998</c:v>
                </c:pt>
                <c:pt idx="27">
                  <c:v>1997</c:v>
                </c:pt>
                <c:pt idx="28">
                  <c:v>1996</c:v>
                </c:pt>
                <c:pt idx="29">
                  <c:v>1995</c:v>
                </c:pt>
                <c:pt idx="30">
                  <c:v>1994</c:v>
                </c:pt>
                <c:pt idx="31">
                  <c:v>1993</c:v>
                </c:pt>
                <c:pt idx="32">
                  <c:v>1992</c:v>
                </c:pt>
                <c:pt idx="33">
                  <c:v>1991</c:v>
                </c:pt>
                <c:pt idx="34">
                  <c:v>1990</c:v>
                </c:pt>
                <c:pt idx="35">
                  <c:v>1989</c:v>
                </c:pt>
              </c:numCache>
            </c:numRef>
          </c:cat>
          <c:val>
            <c:numRef>
              <c:f>Data_MVP!$H$2:$H$37</c:f>
              <c:numCache>
                <c:formatCode>General</c:formatCode>
                <c:ptCount val="36"/>
                <c:pt idx="0">
                  <c:v>16.7</c:v>
                </c:pt>
                <c:pt idx="1">
                  <c:v>17</c:v>
                </c:pt>
                <c:pt idx="2">
                  <c:v>12.3</c:v>
                </c:pt>
                <c:pt idx="3">
                  <c:v>15.2</c:v>
                </c:pt>
                <c:pt idx="4">
                  <c:v>15.6</c:v>
                </c:pt>
                <c:pt idx="5">
                  <c:v>11.1</c:v>
                </c:pt>
                <c:pt idx="6">
                  <c:v>14.4</c:v>
                </c:pt>
                <c:pt idx="7">
                  <c:v>15.4</c:v>
                </c:pt>
                <c:pt idx="8">
                  <c:v>13.1</c:v>
                </c:pt>
                <c:pt idx="9">
                  <c:v>17.899999999999999</c:v>
                </c:pt>
                <c:pt idx="10">
                  <c:v>15.7</c:v>
                </c:pt>
                <c:pt idx="11">
                  <c:v>19.2</c:v>
                </c:pt>
                <c:pt idx="12">
                  <c:v>19.3</c:v>
                </c:pt>
                <c:pt idx="13">
                  <c:v>14.5</c:v>
                </c:pt>
                <c:pt idx="14">
                  <c:v>13.1</c:v>
                </c:pt>
                <c:pt idx="15">
                  <c:v>18.5</c:v>
                </c:pt>
                <c:pt idx="16">
                  <c:v>20.3</c:v>
                </c:pt>
                <c:pt idx="17">
                  <c:v>13.8</c:v>
                </c:pt>
                <c:pt idx="18">
                  <c:v>16.3</c:v>
                </c:pt>
                <c:pt idx="19">
                  <c:v>12.4</c:v>
                </c:pt>
                <c:pt idx="20">
                  <c:v>10.9</c:v>
                </c:pt>
                <c:pt idx="21">
                  <c:v>18.3</c:v>
                </c:pt>
                <c:pt idx="22">
                  <c:v>16.5</c:v>
                </c:pt>
                <c:pt idx="23">
                  <c:v>17.8</c:v>
                </c:pt>
                <c:pt idx="24">
                  <c:v>11.8</c:v>
                </c:pt>
                <c:pt idx="25">
                  <c:v>18.600000000000001</c:v>
                </c:pt>
                <c:pt idx="26">
                  <c:v>9.6</c:v>
                </c:pt>
                <c:pt idx="27">
                  <c:v>15.8</c:v>
                </c:pt>
                <c:pt idx="28">
                  <c:v>16.7</c:v>
                </c:pt>
                <c:pt idx="29">
                  <c:v>20.399999999999999</c:v>
                </c:pt>
                <c:pt idx="30">
                  <c:v>17.5</c:v>
                </c:pt>
                <c:pt idx="31">
                  <c:v>14.3</c:v>
                </c:pt>
                <c:pt idx="32">
                  <c:v>14.4</c:v>
                </c:pt>
                <c:pt idx="33">
                  <c:v>17.7</c:v>
                </c:pt>
                <c:pt idx="34">
                  <c:v>20.3</c:v>
                </c:pt>
                <c:pt idx="35">
                  <c:v>16.5</c:v>
                </c:pt>
              </c:numCache>
            </c:numRef>
          </c:val>
          <c:smooth val="0"/>
          <c:extLst>
            <c:ext xmlns:c16="http://schemas.microsoft.com/office/drawing/2014/chart" uri="{C3380CC4-5D6E-409C-BE32-E72D297353CC}">
              <c16:uniqueId val="{00000000-25FF-4B22-BA52-6828754806A7}"/>
            </c:ext>
          </c:extLst>
        </c:ser>
        <c:dLbls>
          <c:showLegendKey val="0"/>
          <c:showVal val="0"/>
          <c:showCatName val="0"/>
          <c:showSerName val="0"/>
          <c:showPercent val="0"/>
          <c:showBubbleSize val="0"/>
        </c:dLbls>
        <c:smooth val="0"/>
        <c:axId val="1156296240"/>
        <c:axId val="1156293000"/>
      </c:lineChart>
      <c:catAx>
        <c:axId val="1156296240"/>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56293000"/>
        <c:crosses val="autoZero"/>
        <c:auto val="1"/>
        <c:lblAlgn val="ctr"/>
        <c:lblOffset val="100"/>
        <c:noMultiLvlLbl val="0"/>
      </c:catAx>
      <c:valAx>
        <c:axId val="1156293000"/>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Win Shares (WS)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5629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MVP Win Shares per 48 Minutes Over Time (1989–2024)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numRef>
              <c:f>Data_MVP!$A$2:$A$37</c:f>
              <c:numCache>
                <c:formatCode>0</c:formatCode>
                <c:ptCount val="36"/>
                <c:pt idx="0">
                  <c:v>2024</c:v>
                </c:pt>
                <c:pt idx="1">
                  <c:v>2023</c:v>
                </c:pt>
                <c:pt idx="2">
                  <c:v>2022</c:v>
                </c:pt>
                <c:pt idx="3">
                  <c:v>2021</c:v>
                </c:pt>
                <c:pt idx="4">
                  <c:v>2020</c:v>
                </c:pt>
                <c:pt idx="5">
                  <c:v>2019</c:v>
                </c:pt>
                <c:pt idx="6">
                  <c:v>2018</c:v>
                </c:pt>
                <c:pt idx="7">
                  <c:v>2017</c:v>
                </c:pt>
                <c:pt idx="8">
                  <c:v>2016</c:v>
                </c:pt>
                <c:pt idx="9">
                  <c:v>2015</c:v>
                </c:pt>
                <c:pt idx="10">
                  <c:v>2014</c:v>
                </c:pt>
                <c:pt idx="11">
                  <c:v>2013</c:v>
                </c:pt>
                <c:pt idx="12">
                  <c:v>2012</c:v>
                </c:pt>
                <c:pt idx="13">
                  <c:v>2011</c:v>
                </c:pt>
                <c:pt idx="14">
                  <c:v>2010</c:v>
                </c:pt>
                <c:pt idx="15">
                  <c:v>2009</c:v>
                </c:pt>
                <c:pt idx="16">
                  <c:v>2008</c:v>
                </c:pt>
                <c:pt idx="17">
                  <c:v>2007</c:v>
                </c:pt>
                <c:pt idx="18">
                  <c:v>2006</c:v>
                </c:pt>
                <c:pt idx="19">
                  <c:v>2005</c:v>
                </c:pt>
                <c:pt idx="20">
                  <c:v>2004</c:v>
                </c:pt>
                <c:pt idx="21">
                  <c:v>2003</c:v>
                </c:pt>
                <c:pt idx="22">
                  <c:v>2002</c:v>
                </c:pt>
                <c:pt idx="23">
                  <c:v>2001</c:v>
                </c:pt>
                <c:pt idx="24">
                  <c:v>2000</c:v>
                </c:pt>
                <c:pt idx="25">
                  <c:v>1999</c:v>
                </c:pt>
                <c:pt idx="26">
                  <c:v>1998</c:v>
                </c:pt>
                <c:pt idx="27">
                  <c:v>1997</c:v>
                </c:pt>
                <c:pt idx="28">
                  <c:v>1996</c:v>
                </c:pt>
                <c:pt idx="29">
                  <c:v>1995</c:v>
                </c:pt>
                <c:pt idx="30">
                  <c:v>1994</c:v>
                </c:pt>
                <c:pt idx="31">
                  <c:v>1993</c:v>
                </c:pt>
                <c:pt idx="32">
                  <c:v>1992</c:v>
                </c:pt>
                <c:pt idx="33">
                  <c:v>1991</c:v>
                </c:pt>
                <c:pt idx="34">
                  <c:v>1990</c:v>
                </c:pt>
                <c:pt idx="35">
                  <c:v>1989</c:v>
                </c:pt>
              </c:numCache>
            </c:numRef>
          </c:cat>
          <c:val>
            <c:numRef>
              <c:f>Data_MVP!$I$2:$I$37</c:f>
              <c:numCache>
                <c:formatCode>General</c:formatCode>
                <c:ptCount val="36"/>
                <c:pt idx="0">
                  <c:v>0.309</c:v>
                </c:pt>
                <c:pt idx="1">
                  <c:v>0.29899999999999999</c:v>
                </c:pt>
                <c:pt idx="2">
                  <c:v>0.25900000000000001</c:v>
                </c:pt>
                <c:pt idx="3">
                  <c:v>0.29599999999999999</c:v>
                </c:pt>
                <c:pt idx="4">
                  <c:v>0.30099999999999999</c:v>
                </c:pt>
                <c:pt idx="5">
                  <c:v>0.27900000000000003</c:v>
                </c:pt>
                <c:pt idx="6">
                  <c:v>0.29199999999999998</c:v>
                </c:pt>
                <c:pt idx="7">
                  <c:v>0.28899999999999998</c:v>
                </c:pt>
                <c:pt idx="8">
                  <c:v>0.224</c:v>
                </c:pt>
                <c:pt idx="9">
                  <c:v>0.318</c:v>
                </c:pt>
                <c:pt idx="10">
                  <c:v>0.28799999999999998</c:v>
                </c:pt>
                <c:pt idx="11">
                  <c:v>0.29499999999999998</c:v>
                </c:pt>
                <c:pt idx="12">
                  <c:v>0.32200000000000001</c:v>
                </c:pt>
                <c:pt idx="13">
                  <c:v>0.29799999999999999</c:v>
                </c:pt>
                <c:pt idx="14">
                  <c:v>0.20799999999999999</c:v>
                </c:pt>
                <c:pt idx="15">
                  <c:v>0.29899999999999999</c:v>
                </c:pt>
                <c:pt idx="16">
                  <c:v>0.318</c:v>
                </c:pt>
                <c:pt idx="17">
                  <c:v>0.20799999999999999</c:v>
                </c:pt>
                <c:pt idx="18">
                  <c:v>0.27800000000000002</c:v>
                </c:pt>
                <c:pt idx="19">
                  <c:v>0.21199999999999999</c:v>
                </c:pt>
                <c:pt idx="20">
                  <c:v>0.20300000000000001</c:v>
                </c:pt>
                <c:pt idx="21">
                  <c:v>0.27200000000000002</c:v>
                </c:pt>
                <c:pt idx="22">
                  <c:v>0.248</c:v>
                </c:pt>
                <c:pt idx="23">
                  <c:v>0.25700000000000001</c:v>
                </c:pt>
                <c:pt idx="24">
                  <c:v>0.19</c:v>
                </c:pt>
                <c:pt idx="25">
                  <c:v>0.28299999999999997</c:v>
                </c:pt>
                <c:pt idx="26">
                  <c:v>0.252</c:v>
                </c:pt>
                <c:pt idx="27">
                  <c:v>0.23799999999999999</c:v>
                </c:pt>
                <c:pt idx="28">
                  <c:v>0.26800000000000002</c:v>
                </c:pt>
                <c:pt idx="29">
                  <c:v>0.317</c:v>
                </c:pt>
                <c:pt idx="30">
                  <c:v>0.27300000000000002</c:v>
                </c:pt>
                <c:pt idx="31">
                  <c:v>0.21</c:v>
                </c:pt>
                <c:pt idx="32">
                  <c:v>0.24199999999999999</c:v>
                </c:pt>
                <c:pt idx="33">
                  <c:v>0.27400000000000002</c:v>
                </c:pt>
                <c:pt idx="34">
                  <c:v>0.32100000000000001</c:v>
                </c:pt>
                <c:pt idx="35">
                  <c:v>0.27</c:v>
                </c:pt>
              </c:numCache>
            </c:numRef>
          </c:val>
          <c:smooth val="0"/>
          <c:extLst>
            <c:ext xmlns:c16="http://schemas.microsoft.com/office/drawing/2014/chart" uri="{C3380CC4-5D6E-409C-BE32-E72D297353CC}">
              <c16:uniqueId val="{00000000-7A9C-4D48-8CC7-1B495C11D30B}"/>
            </c:ext>
          </c:extLst>
        </c:ser>
        <c:dLbls>
          <c:showLegendKey val="0"/>
          <c:showVal val="0"/>
          <c:showCatName val="0"/>
          <c:showSerName val="0"/>
          <c:showPercent val="0"/>
          <c:showBubbleSize val="0"/>
        </c:dLbls>
        <c:smooth val="0"/>
        <c:axId val="1054954352"/>
        <c:axId val="1054953992"/>
      </c:lineChart>
      <c:catAx>
        <c:axId val="1054954352"/>
        <c:scaling>
          <c:orientation val="maxMin"/>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4953992"/>
        <c:crosses val="autoZero"/>
        <c:auto val="1"/>
        <c:lblAlgn val="ctr"/>
        <c:lblOffset val="100"/>
        <c:noMultiLvlLbl val="0"/>
      </c:catAx>
      <c:valAx>
        <c:axId val="105495399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Win Shares per 48 Minutes (WS/48)</a:t>
                </a:r>
              </a:p>
            </c:rich>
          </c:tx>
          <c:layout>
            <c:manualLayout>
              <c:xMode val="edge"/>
              <c:yMode val="edge"/>
              <c:x val="0.94387489063867014"/>
              <c:y val="0.209166666666666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495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Steals per Game by Decade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DPOY_Decade_Summary!$C$2:$C$5</c:f>
              <c:numCache>
                <c:formatCode>General</c:formatCode>
                <c:ptCount val="4"/>
                <c:pt idx="0">
                  <c:v>1.2200000000000002</c:v>
                </c:pt>
                <c:pt idx="1">
                  <c:v>1.2899999999999998</c:v>
                </c:pt>
                <c:pt idx="2">
                  <c:v>1.31</c:v>
                </c:pt>
                <c:pt idx="3">
                  <c:v>0.98333333333333328</c:v>
                </c:pt>
              </c:numCache>
            </c:numRef>
          </c:val>
          <c:extLst>
            <c:ext xmlns:c16="http://schemas.microsoft.com/office/drawing/2014/chart" uri="{C3380CC4-5D6E-409C-BE32-E72D297353CC}">
              <c16:uniqueId val="{00000000-DE03-49DA-8C55-BF9974EC5526}"/>
            </c:ext>
          </c:extLst>
        </c:ser>
        <c:dLbls>
          <c:showLegendKey val="0"/>
          <c:showVal val="0"/>
          <c:showCatName val="0"/>
          <c:showSerName val="0"/>
          <c:showPercent val="0"/>
          <c:showBubbleSize val="0"/>
        </c:dLbls>
        <c:gapWidth val="219"/>
        <c:overlap val="-27"/>
        <c:axId val="25112023"/>
        <c:axId val="25104823"/>
      </c:barChart>
      <c:catAx>
        <c:axId val="25112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104823"/>
        <c:crosses val="autoZero"/>
        <c:auto val="1"/>
        <c:lblAlgn val="ctr"/>
        <c:lblOffset val="100"/>
        <c:noMultiLvlLbl val="0"/>
      </c:catAx>
      <c:valAx>
        <c:axId val="25104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Steals per Game (STL)</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5112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Rebounds per Game by Decade</a:t>
            </a:r>
            <a:endParaRPr lang="pt-BR"/>
          </a:p>
        </c:rich>
      </c:tx>
      <c:layout>
        <c:manualLayout>
          <c:xMode val="edge"/>
          <c:yMode val="edge"/>
          <c:x val="0.167222222222222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DPOY_Decade_Summary!$B$2:$B$5</c:f>
              <c:numCache>
                <c:formatCode>General</c:formatCode>
                <c:ptCount val="4"/>
                <c:pt idx="0">
                  <c:v>11</c:v>
                </c:pt>
                <c:pt idx="1">
                  <c:v>11.49</c:v>
                </c:pt>
                <c:pt idx="2">
                  <c:v>10.18</c:v>
                </c:pt>
                <c:pt idx="3">
                  <c:v>9.9833333333333343</c:v>
                </c:pt>
              </c:numCache>
            </c:numRef>
          </c:val>
          <c:extLst>
            <c:ext xmlns:c16="http://schemas.microsoft.com/office/drawing/2014/chart" uri="{C3380CC4-5D6E-409C-BE32-E72D297353CC}">
              <c16:uniqueId val="{00000000-F9A6-4079-938C-DB0E1242DAAB}"/>
            </c:ext>
          </c:extLst>
        </c:ser>
        <c:dLbls>
          <c:showLegendKey val="0"/>
          <c:showVal val="0"/>
          <c:showCatName val="0"/>
          <c:showSerName val="0"/>
          <c:showPercent val="0"/>
          <c:showBubbleSize val="0"/>
        </c:dLbls>
        <c:gapWidth val="219"/>
        <c:overlap val="-27"/>
        <c:axId val="2096064120"/>
        <c:axId val="2096064840"/>
      </c:barChart>
      <c:catAx>
        <c:axId val="2096064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6064840"/>
        <c:crosses val="autoZero"/>
        <c:auto val="1"/>
        <c:lblAlgn val="ctr"/>
        <c:lblOffset val="100"/>
        <c:noMultiLvlLbl val="0"/>
      </c:catAx>
      <c:valAx>
        <c:axId val="2096064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Rebounds per Game (TRB)</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96064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Blocks per Game by Decade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DPOY_Decade_Summary!$D$2:$D$5</c:f>
              <c:numCache>
                <c:formatCode>General</c:formatCode>
                <c:ptCount val="4"/>
                <c:pt idx="0">
                  <c:v>2.8499999999999996</c:v>
                </c:pt>
                <c:pt idx="1">
                  <c:v>2.59</c:v>
                </c:pt>
                <c:pt idx="2">
                  <c:v>1.7600000000000002</c:v>
                </c:pt>
                <c:pt idx="3">
                  <c:v>1.7833333333333332</c:v>
                </c:pt>
              </c:numCache>
            </c:numRef>
          </c:val>
          <c:extLst>
            <c:ext xmlns:c16="http://schemas.microsoft.com/office/drawing/2014/chart" uri="{C3380CC4-5D6E-409C-BE32-E72D297353CC}">
              <c16:uniqueId val="{00000001-F815-40BE-B113-B8ACD2A9E004}"/>
            </c:ext>
          </c:extLst>
        </c:ser>
        <c:dLbls>
          <c:showLegendKey val="0"/>
          <c:showVal val="0"/>
          <c:showCatName val="0"/>
          <c:showSerName val="0"/>
          <c:showPercent val="0"/>
          <c:showBubbleSize val="0"/>
        </c:dLbls>
        <c:gapWidth val="219"/>
        <c:overlap val="-27"/>
        <c:axId val="1114835240"/>
        <c:axId val="1114838120"/>
      </c:barChart>
      <c:catAx>
        <c:axId val="1114835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4838120"/>
        <c:crosses val="autoZero"/>
        <c:auto val="1"/>
        <c:lblAlgn val="ctr"/>
        <c:lblOffset val="100"/>
        <c:noMultiLvlLbl val="0"/>
      </c:catAx>
      <c:valAx>
        <c:axId val="1114838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Blocks per Game (BLK)</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4835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Average Win Shares vs WS per 48 Minutes by Decade</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v>Average WS</c:v>
          </c:tx>
          <c:spPr>
            <a:solidFill>
              <a:schemeClr val="accent1"/>
            </a:solidFill>
            <a:ln>
              <a:noFill/>
            </a:ln>
            <a:effectLst/>
          </c:spPr>
          <c:invertIfNegative val="0"/>
          <c:cat>
            <c:strRef>
              <c:f>DPOY_Decade_Summary!$A$2:$A$5</c:f>
              <c:strCache>
                <c:ptCount val="4"/>
                <c:pt idx="0">
                  <c:v>1989-1998</c:v>
                </c:pt>
                <c:pt idx="1">
                  <c:v>1999-2008</c:v>
                </c:pt>
                <c:pt idx="2">
                  <c:v>2009-2018</c:v>
                </c:pt>
                <c:pt idx="3">
                  <c:v>2019-2028</c:v>
                </c:pt>
              </c:strCache>
            </c:strRef>
          </c:cat>
          <c:val>
            <c:numRef>
              <c:f>DPOY_Decade_Summary!$E$2:$E$5</c:f>
              <c:numCache>
                <c:formatCode>0.0</c:formatCode>
                <c:ptCount val="4"/>
                <c:pt idx="0">
                  <c:v>11.22</c:v>
                </c:pt>
                <c:pt idx="1">
                  <c:v>10.41</c:v>
                </c:pt>
                <c:pt idx="2">
                  <c:v>11.280000000000001</c:v>
                </c:pt>
                <c:pt idx="3">
                  <c:v>9.2000000000000011</c:v>
                </c:pt>
              </c:numCache>
            </c:numRef>
          </c:val>
          <c:extLst>
            <c:ext xmlns:c16="http://schemas.microsoft.com/office/drawing/2014/chart" uri="{C3380CC4-5D6E-409C-BE32-E72D297353CC}">
              <c16:uniqueId val="{00000000-77C9-41CC-A602-710EDEAA8EA8}"/>
            </c:ext>
          </c:extLst>
        </c:ser>
        <c:dLbls>
          <c:showLegendKey val="0"/>
          <c:showVal val="0"/>
          <c:showCatName val="0"/>
          <c:showSerName val="0"/>
          <c:showPercent val="0"/>
          <c:showBubbleSize val="0"/>
        </c:dLbls>
        <c:gapWidth val="219"/>
        <c:overlap val="-27"/>
        <c:axId val="2049752408"/>
        <c:axId val="2142488352"/>
      </c:barChart>
      <c:lineChart>
        <c:grouping val="standard"/>
        <c:varyColors val="0"/>
        <c:ser>
          <c:idx val="1"/>
          <c:order val="1"/>
          <c:tx>
            <c:v>Average WS/48</c:v>
          </c:tx>
          <c:spPr>
            <a:ln w="28575" cap="rnd">
              <a:solidFill>
                <a:schemeClr val="accent2"/>
              </a:solidFill>
              <a:round/>
            </a:ln>
            <a:effectLst/>
          </c:spPr>
          <c:marker>
            <c:symbol val="none"/>
          </c:marker>
          <c:cat>
            <c:strRef>
              <c:f>DPOY_Decade_Summary!$A$2:$A$5</c:f>
              <c:strCache>
                <c:ptCount val="4"/>
                <c:pt idx="0">
                  <c:v>1989-1998</c:v>
                </c:pt>
                <c:pt idx="1">
                  <c:v>1999-2008</c:v>
                </c:pt>
                <c:pt idx="2">
                  <c:v>2009-2018</c:v>
                </c:pt>
                <c:pt idx="3">
                  <c:v>2019-2028</c:v>
                </c:pt>
              </c:strCache>
            </c:strRef>
          </c:cat>
          <c:val>
            <c:numRef>
              <c:f>DPOY_Decade_Summary!$F$2:$F$5</c:f>
              <c:numCache>
                <c:formatCode>0.000</c:formatCode>
                <c:ptCount val="4"/>
                <c:pt idx="0">
                  <c:v>0.19290859302653546</c:v>
                </c:pt>
                <c:pt idx="1">
                  <c:v>0.18601101635862646</c:v>
                </c:pt>
                <c:pt idx="2">
                  <c:v>0.21881402908316247</c:v>
                </c:pt>
                <c:pt idx="3">
                  <c:v>0.2058070883272676</c:v>
                </c:pt>
              </c:numCache>
            </c:numRef>
          </c:val>
          <c:smooth val="0"/>
          <c:extLst>
            <c:ext xmlns:c16="http://schemas.microsoft.com/office/drawing/2014/chart" uri="{C3380CC4-5D6E-409C-BE32-E72D297353CC}">
              <c16:uniqueId val="{00000001-77C9-41CC-A602-710EDEAA8EA8}"/>
            </c:ext>
          </c:extLst>
        </c:ser>
        <c:dLbls>
          <c:showLegendKey val="0"/>
          <c:showVal val="0"/>
          <c:showCatName val="0"/>
          <c:showSerName val="0"/>
          <c:showPercent val="0"/>
          <c:showBubbleSize val="0"/>
        </c:dLbls>
        <c:marker val="1"/>
        <c:smooth val="0"/>
        <c:axId val="2124755384"/>
        <c:axId val="120134768"/>
      </c:lineChart>
      <c:catAx>
        <c:axId val="2049752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42488352"/>
        <c:crosses val="autoZero"/>
        <c:auto val="1"/>
        <c:lblAlgn val="ctr"/>
        <c:lblOffset val="100"/>
        <c:noMultiLvlLbl val="0"/>
      </c:catAx>
      <c:valAx>
        <c:axId val="2142488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Win</a:t>
                </a:r>
                <a:r>
                  <a:rPr lang="pt-BR" baseline="0"/>
                  <a:t> Share (WS)</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49752408"/>
        <c:crosses val="autoZero"/>
        <c:crossBetween val="between"/>
        <c:majorUnit val="1"/>
      </c:valAx>
      <c:valAx>
        <c:axId val="120134768"/>
        <c:scaling>
          <c:orientation val="minMax"/>
          <c:max val="0.30000000000000004"/>
          <c:min val="0.15000000000000002"/>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Average Win Shares per 48 Minutes (WS/48)</a:t>
                </a:r>
                <a:r>
                  <a:rPr lang="pt-B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24755384"/>
        <c:crosses val="max"/>
        <c:crossBetween val="between"/>
      </c:valAx>
      <c:catAx>
        <c:axId val="2124755384"/>
        <c:scaling>
          <c:orientation val="minMax"/>
        </c:scaling>
        <c:delete val="1"/>
        <c:axPos val="b"/>
        <c:numFmt formatCode="General" sourceLinked="1"/>
        <c:majorTickMark val="out"/>
        <c:minorTickMark val="none"/>
        <c:tickLblPos val="nextTo"/>
        <c:crossAx val="120134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ROY Average Win Shares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ROY_Decade_Summary!$A$2:$A$5</c:f>
              <c:strCache>
                <c:ptCount val="4"/>
                <c:pt idx="0">
                  <c:v>1989-1998</c:v>
                </c:pt>
                <c:pt idx="1">
                  <c:v>1999-2008</c:v>
                </c:pt>
                <c:pt idx="2">
                  <c:v>2009-2018</c:v>
                </c:pt>
                <c:pt idx="3">
                  <c:v>2019-2028</c:v>
                </c:pt>
              </c:strCache>
            </c:strRef>
          </c:cat>
          <c:val>
            <c:numRef>
              <c:f>ROY_Decade_Summary!$B$2:$B$5</c:f>
              <c:numCache>
                <c:formatCode>0.0</c:formatCode>
                <c:ptCount val="4"/>
                <c:pt idx="0">
                  <c:v>7.5727272727272714</c:v>
                </c:pt>
                <c:pt idx="1">
                  <c:v>5.8636363636363633</c:v>
                </c:pt>
                <c:pt idx="2">
                  <c:v>5.5000000000000009</c:v>
                </c:pt>
                <c:pt idx="3">
                  <c:v>3.4000000000000004</c:v>
                </c:pt>
              </c:numCache>
            </c:numRef>
          </c:val>
          <c:extLst>
            <c:ext xmlns:c16="http://schemas.microsoft.com/office/drawing/2014/chart" uri="{C3380CC4-5D6E-409C-BE32-E72D297353CC}">
              <c16:uniqueId val="{00000000-8431-4110-9904-0B748A681610}"/>
            </c:ext>
          </c:extLst>
        </c:ser>
        <c:dLbls>
          <c:showLegendKey val="0"/>
          <c:showVal val="0"/>
          <c:showCatName val="0"/>
          <c:showSerName val="0"/>
          <c:showPercent val="0"/>
          <c:showBubbleSize val="0"/>
        </c:dLbls>
        <c:gapWidth val="219"/>
        <c:overlap val="-27"/>
        <c:axId val="502216904"/>
        <c:axId val="502217264"/>
      </c:barChart>
      <c:catAx>
        <c:axId val="502216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2217264"/>
        <c:crosses val="autoZero"/>
        <c:auto val="1"/>
        <c:lblAlgn val="ctr"/>
        <c:lblOffset val="100"/>
        <c:noMultiLvlLbl val="0"/>
      </c:catAx>
      <c:valAx>
        <c:axId val="5022172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2216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ROY Average WS per 48 Minutes by Decade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spPr>
            <a:solidFill>
              <a:schemeClr val="accent1"/>
            </a:solidFill>
            <a:ln>
              <a:noFill/>
            </a:ln>
            <a:effectLst/>
          </c:spPr>
          <c:invertIfNegative val="0"/>
          <c:cat>
            <c:strRef>
              <c:f>ROY_Decade_Summary!$A$2:$A$5</c:f>
              <c:strCache>
                <c:ptCount val="4"/>
                <c:pt idx="0">
                  <c:v>1989-1998</c:v>
                </c:pt>
                <c:pt idx="1">
                  <c:v>1999-2008</c:v>
                </c:pt>
                <c:pt idx="2">
                  <c:v>2009-2018</c:v>
                </c:pt>
                <c:pt idx="3">
                  <c:v>2019-2028</c:v>
                </c:pt>
              </c:strCache>
            </c:strRef>
          </c:cat>
          <c:val>
            <c:numRef>
              <c:f>ROY_Decade_Summary!$C$2:$C$5</c:f>
              <c:numCache>
                <c:formatCode>0.000</c:formatCode>
                <c:ptCount val="4"/>
                <c:pt idx="0">
                  <c:v>0.13036363636363638</c:v>
                </c:pt>
                <c:pt idx="1">
                  <c:v>0.10336363636363637</c:v>
                </c:pt>
                <c:pt idx="2">
                  <c:v>0.1036</c:v>
                </c:pt>
                <c:pt idx="3">
                  <c:v>7.6666666666666661E-2</c:v>
                </c:pt>
              </c:numCache>
            </c:numRef>
          </c:val>
          <c:extLst>
            <c:ext xmlns:c16="http://schemas.microsoft.com/office/drawing/2014/chart" uri="{C3380CC4-5D6E-409C-BE32-E72D297353CC}">
              <c16:uniqueId val="{00000000-C12A-454C-B586-E8C2A4D27D29}"/>
            </c:ext>
          </c:extLst>
        </c:ser>
        <c:dLbls>
          <c:showLegendKey val="0"/>
          <c:showVal val="0"/>
          <c:showCatName val="0"/>
          <c:showSerName val="0"/>
          <c:showPercent val="0"/>
          <c:showBubbleSize val="0"/>
        </c:dLbls>
        <c:gapWidth val="219"/>
        <c:overlap val="-27"/>
        <c:axId val="1055382128"/>
        <c:axId val="583183376"/>
      </c:barChart>
      <c:catAx>
        <c:axId val="105538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83183376"/>
        <c:crosses val="autoZero"/>
        <c:auto val="1"/>
        <c:lblAlgn val="ctr"/>
        <c:lblOffset val="100"/>
        <c:noMultiLvlLbl val="0"/>
      </c:catAx>
      <c:valAx>
        <c:axId val="58318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 WS/48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5382128"/>
        <c:crosses val="autoZero"/>
        <c:crossBetween val="between"/>
        <c:majorUnit val="1.0000000000000002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[NBA_Awards_Analysis_1989_2024_FINAL.xlsx - Copia.xlsx]ROY_Decade_Summary!Tabela dinâmica11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ROY_Decade_Summary!$B$1</c:f>
              <c:strCache>
                <c:ptCount val="1"/>
                <c:pt idx="0">
                  <c:v>Média de WS</c:v>
                </c:pt>
              </c:strCache>
            </c:strRef>
          </c:tx>
          <c:spPr>
            <a:solidFill>
              <a:schemeClr val="accent1"/>
            </a:solidFill>
            <a:ln>
              <a:noFill/>
            </a:ln>
            <a:effectLst/>
          </c:spPr>
          <c:invertIfNegative val="0"/>
          <c:cat>
            <c:strRef>
              <c:f>ROY_Decade_Summary!$A$2:$A$6</c:f>
              <c:strCache>
                <c:ptCount val="4"/>
                <c:pt idx="0">
                  <c:v>1989-1998</c:v>
                </c:pt>
                <c:pt idx="1">
                  <c:v>1999-2008</c:v>
                </c:pt>
                <c:pt idx="2">
                  <c:v>2009-2018</c:v>
                </c:pt>
                <c:pt idx="3">
                  <c:v>2019-2028</c:v>
                </c:pt>
              </c:strCache>
            </c:strRef>
          </c:cat>
          <c:val>
            <c:numRef>
              <c:f>ROY_Decade_Summary!$B$2:$B$6</c:f>
              <c:numCache>
                <c:formatCode>0.0</c:formatCode>
                <c:ptCount val="4"/>
                <c:pt idx="0">
                  <c:v>7.5727272727272714</c:v>
                </c:pt>
                <c:pt idx="1">
                  <c:v>5.8636363636363633</c:v>
                </c:pt>
                <c:pt idx="2">
                  <c:v>5.5000000000000009</c:v>
                </c:pt>
                <c:pt idx="3">
                  <c:v>3.4000000000000004</c:v>
                </c:pt>
              </c:numCache>
            </c:numRef>
          </c:val>
          <c:extLst>
            <c:ext xmlns:c16="http://schemas.microsoft.com/office/drawing/2014/chart" uri="{C3380CC4-5D6E-409C-BE32-E72D297353CC}">
              <c16:uniqueId val="{00000000-1025-412A-B54F-800B9F8B7168}"/>
            </c:ext>
          </c:extLst>
        </c:ser>
        <c:dLbls>
          <c:showLegendKey val="0"/>
          <c:showVal val="0"/>
          <c:showCatName val="0"/>
          <c:showSerName val="0"/>
          <c:showPercent val="0"/>
          <c:showBubbleSize val="0"/>
        </c:dLbls>
        <c:gapWidth val="150"/>
        <c:axId val="1058370984"/>
        <c:axId val="1058372424"/>
      </c:barChart>
      <c:lineChart>
        <c:grouping val="standard"/>
        <c:varyColors val="0"/>
        <c:ser>
          <c:idx val="1"/>
          <c:order val="1"/>
          <c:tx>
            <c:strRef>
              <c:f>ROY_Decade_Summary!$C$1</c:f>
              <c:strCache>
                <c:ptCount val="1"/>
                <c:pt idx="0">
                  <c:v>Média de WS/48</c:v>
                </c:pt>
              </c:strCache>
            </c:strRef>
          </c:tx>
          <c:spPr>
            <a:ln w="25400" cap="rnd">
              <a:solidFill>
                <a:schemeClr val="accent2"/>
              </a:solidFill>
              <a:round/>
            </a:ln>
            <a:effectLst/>
          </c:spPr>
          <c:marker>
            <c:symbol val="none"/>
          </c:marker>
          <c:cat>
            <c:strRef>
              <c:f>ROY_Decade_Summary!$A$2:$A$6</c:f>
              <c:strCache>
                <c:ptCount val="4"/>
                <c:pt idx="0">
                  <c:v>1989-1998</c:v>
                </c:pt>
                <c:pt idx="1">
                  <c:v>1999-2008</c:v>
                </c:pt>
                <c:pt idx="2">
                  <c:v>2009-2018</c:v>
                </c:pt>
                <c:pt idx="3">
                  <c:v>2019-2028</c:v>
                </c:pt>
              </c:strCache>
            </c:strRef>
          </c:cat>
          <c:val>
            <c:numRef>
              <c:f>ROY_Decade_Summary!$C$2:$C$6</c:f>
              <c:numCache>
                <c:formatCode>0.000</c:formatCode>
                <c:ptCount val="4"/>
                <c:pt idx="0">
                  <c:v>0.13036363636363638</c:v>
                </c:pt>
                <c:pt idx="1">
                  <c:v>0.10336363636363637</c:v>
                </c:pt>
                <c:pt idx="2">
                  <c:v>0.1036</c:v>
                </c:pt>
                <c:pt idx="3">
                  <c:v>7.6666666666666661E-2</c:v>
                </c:pt>
              </c:numCache>
            </c:numRef>
          </c:val>
          <c:smooth val="0"/>
          <c:extLst>
            <c:ext xmlns:c16="http://schemas.microsoft.com/office/drawing/2014/chart" uri="{C3380CC4-5D6E-409C-BE32-E72D297353CC}">
              <c16:uniqueId val="{00000001-1025-412A-B54F-800B9F8B7168}"/>
            </c:ext>
          </c:extLst>
        </c:ser>
        <c:dLbls>
          <c:showLegendKey val="0"/>
          <c:showVal val="0"/>
          <c:showCatName val="0"/>
          <c:showSerName val="0"/>
          <c:showPercent val="0"/>
          <c:showBubbleSize val="0"/>
        </c:dLbls>
        <c:marker val="1"/>
        <c:smooth val="0"/>
        <c:axId val="2142491952"/>
        <c:axId val="1237170088"/>
      </c:lineChart>
      <c:catAx>
        <c:axId val="1058370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8372424"/>
        <c:crosses val="autoZero"/>
        <c:auto val="1"/>
        <c:lblAlgn val="ctr"/>
        <c:lblOffset val="100"/>
        <c:noMultiLvlLbl val="0"/>
      </c:catAx>
      <c:valAx>
        <c:axId val="1058372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58370984"/>
        <c:crosses val="autoZero"/>
        <c:crossBetween val="between"/>
      </c:valAx>
      <c:valAx>
        <c:axId val="123717008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WS/48</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42491952"/>
        <c:crosses val="max"/>
        <c:crossBetween val="between"/>
      </c:valAx>
      <c:catAx>
        <c:axId val="2142491952"/>
        <c:scaling>
          <c:orientation val="minMax"/>
        </c:scaling>
        <c:delete val="1"/>
        <c:axPos val="b"/>
        <c:numFmt formatCode="General" sourceLinked="1"/>
        <c:majorTickMark val="out"/>
        <c:minorTickMark val="none"/>
        <c:tickLblPos val="nextTo"/>
        <c:crossAx val="12371700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Win Shares Over Time (1989–2024)</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numRef>
              <c:f>DPOY_Evolution!$A$2:$A$37</c:f>
              <c:numCache>
                <c:formatCode>0</c:formatCode>
                <c:ptCount val="3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pt idx="33">
                  <c:v>2022</c:v>
                </c:pt>
                <c:pt idx="34">
                  <c:v>2023</c:v>
                </c:pt>
                <c:pt idx="35">
                  <c:v>2024</c:v>
                </c:pt>
              </c:numCache>
            </c:numRef>
          </c:cat>
          <c:val>
            <c:numRef>
              <c:f>DPOY_Evolution!$B$2:$B$37</c:f>
              <c:numCache>
                <c:formatCode>General</c:formatCode>
                <c:ptCount val="36"/>
                <c:pt idx="0">
                  <c:v>9.3000000000000007</c:v>
                </c:pt>
                <c:pt idx="1">
                  <c:v>8.6999999999999993</c:v>
                </c:pt>
                <c:pt idx="2">
                  <c:v>13.9</c:v>
                </c:pt>
                <c:pt idx="3">
                  <c:v>15.8</c:v>
                </c:pt>
                <c:pt idx="4">
                  <c:v>14.3</c:v>
                </c:pt>
                <c:pt idx="5">
                  <c:v>8.6999999999999993</c:v>
                </c:pt>
                <c:pt idx="6">
                  <c:v>11.5</c:v>
                </c:pt>
                <c:pt idx="7">
                  <c:v>11.3</c:v>
                </c:pt>
                <c:pt idx="8">
                  <c:v>10.8</c:v>
                </c:pt>
                <c:pt idx="9">
                  <c:v>7.9</c:v>
                </c:pt>
                <c:pt idx="10">
                  <c:v>12.9</c:v>
                </c:pt>
                <c:pt idx="11">
                  <c:v>8.1</c:v>
                </c:pt>
                <c:pt idx="12">
                  <c:v>11.6</c:v>
                </c:pt>
                <c:pt idx="13">
                  <c:v>10.6</c:v>
                </c:pt>
                <c:pt idx="14">
                  <c:v>8</c:v>
                </c:pt>
                <c:pt idx="15">
                  <c:v>8.5</c:v>
                </c:pt>
                <c:pt idx="16">
                  <c:v>10.1</c:v>
                </c:pt>
                <c:pt idx="17">
                  <c:v>7.6</c:v>
                </c:pt>
                <c:pt idx="18">
                  <c:v>12.9</c:v>
                </c:pt>
                <c:pt idx="19">
                  <c:v>13.8</c:v>
                </c:pt>
                <c:pt idx="20">
                  <c:v>13.2</c:v>
                </c:pt>
                <c:pt idx="21">
                  <c:v>14.4</c:v>
                </c:pt>
                <c:pt idx="22">
                  <c:v>9.5</c:v>
                </c:pt>
                <c:pt idx="23">
                  <c:v>11.5</c:v>
                </c:pt>
                <c:pt idx="24">
                  <c:v>11.2</c:v>
                </c:pt>
                <c:pt idx="25">
                  <c:v>8.6</c:v>
                </c:pt>
                <c:pt idx="26">
                  <c:v>13.7</c:v>
                </c:pt>
                <c:pt idx="27">
                  <c:v>8.1999999999999993</c:v>
                </c:pt>
                <c:pt idx="28">
                  <c:v>8.1</c:v>
                </c:pt>
                <c:pt idx="29">
                  <c:v>14.4</c:v>
                </c:pt>
                <c:pt idx="30">
                  <c:v>11.1</c:v>
                </c:pt>
                <c:pt idx="31">
                  <c:v>11.3</c:v>
                </c:pt>
                <c:pt idx="32">
                  <c:v>5.6</c:v>
                </c:pt>
                <c:pt idx="33">
                  <c:v>6.6</c:v>
                </c:pt>
                <c:pt idx="34">
                  <c:v>11.6</c:v>
                </c:pt>
                <c:pt idx="35">
                  <c:v>9</c:v>
                </c:pt>
              </c:numCache>
            </c:numRef>
          </c:val>
          <c:smooth val="0"/>
          <c:extLst>
            <c:ext xmlns:c16="http://schemas.microsoft.com/office/drawing/2014/chart" uri="{C3380CC4-5D6E-409C-BE32-E72D297353CC}">
              <c16:uniqueId val="{00000000-FCB3-4A18-B42B-2B23578AD375}"/>
            </c:ext>
          </c:extLst>
        </c:ser>
        <c:dLbls>
          <c:showLegendKey val="0"/>
          <c:showVal val="0"/>
          <c:showCatName val="0"/>
          <c:showSerName val="0"/>
          <c:showPercent val="0"/>
          <c:showBubbleSize val="0"/>
        </c:dLbls>
        <c:smooth val="0"/>
        <c:axId val="1115035344"/>
        <c:axId val="1122773352"/>
      </c:lineChart>
      <c:catAx>
        <c:axId val="111503534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22773352"/>
        <c:crosses val="autoZero"/>
        <c:auto val="1"/>
        <c:lblAlgn val="ctr"/>
        <c:lblOffset val="100"/>
        <c:noMultiLvlLbl val="0"/>
      </c:catAx>
      <c:valAx>
        <c:axId val="11227733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Win Shares (WS)</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1503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400" b="0" i="0" u="none" strike="noStrike" baseline="0"/>
              <a:t>DPOY Win Shares per 48 Minutes Over Time (1989–2024)</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lineChart>
        <c:grouping val="standard"/>
        <c:varyColors val="0"/>
        <c:ser>
          <c:idx val="0"/>
          <c:order val="0"/>
          <c:spPr>
            <a:ln w="28575" cap="rnd">
              <a:solidFill>
                <a:schemeClr val="accent1"/>
              </a:solidFill>
              <a:round/>
            </a:ln>
            <a:effectLst/>
          </c:spPr>
          <c:marker>
            <c:symbol val="none"/>
          </c:marker>
          <c:cat>
            <c:numRef>
              <c:f>DPOY_Evolution!$A$2:$A$37</c:f>
              <c:numCache>
                <c:formatCode>0</c:formatCode>
                <c:ptCount val="36"/>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pt idx="28">
                  <c:v>2017</c:v>
                </c:pt>
                <c:pt idx="29">
                  <c:v>2018</c:v>
                </c:pt>
                <c:pt idx="30">
                  <c:v>2019</c:v>
                </c:pt>
                <c:pt idx="31">
                  <c:v>2020</c:v>
                </c:pt>
                <c:pt idx="32">
                  <c:v>2021</c:v>
                </c:pt>
                <c:pt idx="33">
                  <c:v>2022</c:v>
                </c:pt>
                <c:pt idx="34">
                  <c:v>2023</c:v>
                </c:pt>
                <c:pt idx="35">
                  <c:v>2024</c:v>
                </c:pt>
              </c:numCache>
            </c:numRef>
          </c:cat>
          <c:val>
            <c:numRef>
              <c:f>DPOY_Evolution!$C$2:$C$37</c:f>
              <c:numCache>
                <c:formatCode>0.00</c:formatCode>
                <c:ptCount val="36"/>
                <c:pt idx="0">
                  <c:v>0.18772077375946175</c:v>
                </c:pt>
                <c:pt idx="1">
                  <c:v>0.15202038587550054</c:v>
                </c:pt>
                <c:pt idx="2">
                  <c:v>0.26025901076611013</c:v>
                </c:pt>
                <c:pt idx="3">
                  <c:v>0.23414634146341468</c:v>
                </c:pt>
                <c:pt idx="4">
                  <c:v>0.20926829268292685</c:v>
                </c:pt>
                <c:pt idx="5">
                  <c:v>0.13472706155632985</c:v>
                </c:pt>
                <c:pt idx="6">
                  <c:v>0.17473884140550808</c:v>
                </c:pt>
                <c:pt idx="7">
                  <c:v>0.18225806451612905</c:v>
                </c:pt>
                <c:pt idx="8">
                  <c:v>0.17758289942449987</c:v>
                </c:pt>
                <c:pt idx="9">
                  <c:v>0.21636425881547416</c:v>
                </c:pt>
                <c:pt idx="10">
                  <c:v>0.22522915757311221</c:v>
                </c:pt>
                <c:pt idx="11">
                  <c:v>0.15026086956521736</c:v>
                </c:pt>
                <c:pt idx="12">
                  <c:v>0.19068493150684929</c:v>
                </c:pt>
                <c:pt idx="13">
                  <c:v>0.17690007648981293</c:v>
                </c:pt>
                <c:pt idx="14">
                  <c:v>0.14140521431727793</c:v>
                </c:pt>
                <c:pt idx="15">
                  <c:v>0.15272890619151006</c:v>
                </c:pt>
                <c:pt idx="16">
                  <c:v>0.16796008869179599</c:v>
                </c:pt>
                <c:pt idx="17">
                  <c:v>0.15418427726120032</c:v>
                </c:pt>
                <c:pt idx="18">
                  <c:v>0.26588801099278603</c:v>
                </c:pt>
                <c:pt idx="19">
                  <c:v>0.23486863099670249</c:v>
                </c:pt>
                <c:pt idx="20">
                  <c:v>0.22267519505166231</c:v>
                </c:pt>
                <c:pt idx="21">
                  <c:v>0.23567921440261866</c:v>
                </c:pt>
                <c:pt idx="22">
                  <c:v>0.22153128643606684</c:v>
                </c:pt>
                <c:pt idx="23">
                  <c:v>0.19714285714285715</c:v>
                </c:pt>
                <c:pt idx="24">
                  <c:v>0.19036827195467418</c:v>
                </c:pt>
                <c:pt idx="25">
                  <c:v>0.20283018867924527</c:v>
                </c:pt>
                <c:pt idx="26">
                  <c:v>0.27593152064451149</c:v>
                </c:pt>
                <c:pt idx="27">
                  <c:v>0.15935222672064775</c:v>
                </c:pt>
                <c:pt idx="28">
                  <c:v>0.21428571428571427</c:v>
                </c:pt>
                <c:pt idx="29">
                  <c:v>0.26834381551362685</c:v>
                </c:pt>
                <c:pt idx="30">
                  <c:v>0.2781954887218045</c:v>
                </c:pt>
                <c:pt idx="31">
                  <c:v>0.24803365648436074</c:v>
                </c:pt>
                <c:pt idx="32">
                  <c:v>0.11721100597392403</c:v>
                </c:pt>
                <c:pt idx="33">
                  <c:v>0.17706237424547283</c:v>
                </c:pt>
                <c:pt idx="34">
                  <c:v>0.21484797036579717</c:v>
                </c:pt>
                <c:pt idx="35">
                  <c:v>0.19949203417224659</c:v>
                </c:pt>
              </c:numCache>
            </c:numRef>
          </c:val>
          <c:smooth val="0"/>
          <c:extLst>
            <c:ext xmlns:c16="http://schemas.microsoft.com/office/drawing/2014/chart" uri="{C3380CC4-5D6E-409C-BE32-E72D297353CC}">
              <c16:uniqueId val="{00000000-548D-40FB-BCAF-630AABF81ED0}"/>
            </c:ext>
          </c:extLst>
        </c:ser>
        <c:dLbls>
          <c:showLegendKey val="0"/>
          <c:showVal val="0"/>
          <c:showCatName val="0"/>
          <c:showSerName val="0"/>
          <c:showPercent val="0"/>
          <c:showBubbleSize val="0"/>
        </c:dLbls>
        <c:smooth val="0"/>
        <c:axId val="508216840"/>
        <c:axId val="508216120"/>
      </c:lineChart>
      <c:catAx>
        <c:axId val="50821684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8216120"/>
        <c:crosses val="autoZero"/>
        <c:auto val="1"/>
        <c:lblAlgn val="ctr"/>
        <c:lblOffset val="100"/>
        <c:noMultiLvlLbl val="0"/>
      </c:catAx>
      <c:valAx>
        <c:axId val="508216120"/>
        <c:scaling>
          <c:orientation val="minMax"/>
          <c:min val="0.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sz="1000" b="0" i="0" u="none" strike="noStrike" baseline="0"/>
                  <a:t>WS/48</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508216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xdr:col>
      <xdr:colOff>304800</xdr:colOff>
      <xdr:row>5</xdr:row>
      <xdr:rowOff>28575</xdr:rowOff>
    </xdr:from>
    <xdr:to>
      <xdr:col>9</xdr:col>
      <xdr:colOff>0</xdr:colOff>
      <xdr:row>19</xdr:row>
      <xdr:rowOff>104775</xdr:rowOff>
    </xdr:to>
    <xdr:graphicFrame macro="">
      <xdr:nvGraphicFramePr>
        <xdr:cNvPr id="3" name="Gráfico 2">
          <a:extLst>
            <a:ext uri="{FF2B5EF4-FFF2-40B4-BE49-F238E27FC236}">
              <a16:creationId xmlns:a16="http://schemas.microsoft.com/office/drawing/2014/main" id="{CB281046-920C-4DFB-A7AB-4FA525EE4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409575</xdr:colOff>
      <xdr:row>5</xdr:row>
      <xdr:rowOff>38100</xdr:rowOff>
    </xdr:from>
    <xdr:to>
      <xdr:col>17</xdr:col>
      <xdr:colOff>114300</xdr:colOff>
      <xdr:row>19</xdr:row>
      <xdr:rowOff>114300</xdr:rowOff>
    </xdr:to>
    <xdr:graphicFrame macro="">
      <xdr:nvGraphicFramePr>
        <xdr:cNvPr id="4" name="Gráfico 3">
          <a:extLst>
            <a:ext uri="{FF2B5EF4-FFF2-40B4-BE49-F238E27FC236}">
              <a16:creationId xmlns:a16="http://schemas.microsoft.com/office/drawing/2014/main" id="{22A3774E-EA03-40F5-BC2E-0B4FCB318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342900</xdr:colOff>
      <xdr:row>20</xdr:row>
      <xdr:rowOff>171450</xdr:rowOff>
    </xdr:from>
    <xdr:to>
      <xdr:col>9</xdr:col>
      <xdr:colOff>38100</xdr:colOff>
      <xdr:row>35</xdr:row>
      <xdr:rowOff>57150</xdr:rowOff>
    </xdr:to>
    <xdr:graphicFrame macro="">
      <xdr:nvGraphicFramePr>
        <xdr:cNvPr id="5" name="Gráfico 4">
          <a:extLst>
            <a:ext uri="{FF2B5EF4-FFF2-40B4-BE49-F238E27FC236}">
              <a16:creationId xmlns:a16="http://schemas.microsoft.com/office/drawing/2014/main" id="{CD747003-DFEC-4EE2-9374-2BB99A3440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171450</xdr:colOff>
      <xdr:row>20</xdr:row>
      <xdr:rowOff>171450</xdr:rowOff>
    </xdr:from>
    <xdr:to>
      <xdr:col>16</xdr:col>
      <xdr:colOff>476250</xdr:colOff>
      <xdr:row>35</xdr:row>
      <xdr:rowOff>57150</xdr:rowOff>
    </xdr:to>
    <xdr:graphicFrame macro="">
      <xdr:nvGraphicFramePr>
        <xdr:cNvPr id="6" name="Gráfico 5">
          <a:extLst>
            <a:ext uri="{FF2B5EF4-FFF2-40B4-BE49-F238E27FC236}">
              <a16:creationId xmlns:a16="http://schemas.microsoft.com/office/drawing/2014/main" id="{B153B439-54A4-408C-895E-6E7A60094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323850</xdr:colOff>
      <xdr:row>36</xdr:row>
      <xdr:rowOff>76200</xdr:rowOff>
    </xdr:from>
    <xdr:to>
      <xdr:col>9</xdr:col>
      <xdr:colOff>19050</xdr:colOff>
      <xdr:row>50</xdr:row>
      <xdr:rowOff>152400</xdr:rowOff>
    </xdr:to>
    <xdr:graphicFrame macro="">
      <xdr:nvGraphicFramePr>
        <xdr:cNvPr id="7" name="Gráfico 6">
          <a:extLst>
            <a:ext uri="{FF2B5EF4-FFF2-40B4-BE49-F238E27FC236}">
              <a16:creationId xmlns:a16="http://schemas.microsoft.com/office/drawing/2014/main" id="{F6667D96-F648-4C80-968A-5F7161C65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171450</xdr:colOff>
      <xdr:row>36</xdr:row>
      <xdr:rowOff>66675</xdr:rowOff>
    </xdr:from>
    <xdr:to>
      <xdr:col>16</xdr:col>
      <xdr:colOff>447675</xdr:colOff>
      <xdr:row>50</xdr:row>
      <xdr:rowOff>142875</xdr:rowOff>
    </xdr:to>
    <xdr:graphicFrame macro="">
      <xdr:nvGraphicFramePr>
        <xdr:cNvPr id="8" name="Gráfico 7">
          <a:extLst>
            <a:ext uri="{FF2B5EF4-FFF2-40B4-BE49-F238E27FC236}">
              <a16:creationId xmlns:a16="http://schemas.microsoft.com/office/drawing/2014/main" id="{BD62A9A5-2EC9-4B5B-B65E-ADF23A436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304800</xdr:colOff>
      <xdr:row>51</xdr:row>
      <xdr:rowOff>114300</xdr:rowOff>
    </xdr:from>
    <xdr:to>
      <xdr:col>9</xdr:col>
      <xdr:colOff>38100</xdr:colOff>
      <xdr:row>66</xdr:row>
      <xdr:rowOff>0</xdr:rowOff>
    </xdr:to>
    <xdr:graphicFrame macro="">
      <xdr:nvGraphicFramePr>
        <xdr:cNvPr id="9" name="Gráfico 8">
          <a:extLst>
            <a:ext uri="{FF2B5EF4-FFF2-40B4-BE49-F238E27FC236}">
              <a16:creationId xmlns:a16="http://schemas.microsoft.com/office/drawing/2014/main" id="{25D5DD9F-2F39-4DE7-9CB5-BD08EE12B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171449</xdr:colOff>
      <xdr:row>51</xdr:row>
      <xdr:rowOff>104775</xdr:rowOff>
    </xdr:from>
    <xdr:to>
      <xdr:col>16</xdr:col>
      <xdr:colOff>485774</xdr:colOff>
      <xdr:row>65</xdr:row>
      <xdr:rowOff>180975</xdr:rowOff>
    </xdr:to>
    <xdr:graphicFrame macro="">
      <xdr:nvGraphicFramePr>
        <xdr:cNvPr id="10" name="Gráfico 9">
          <a:extLst>
            <a:ext uri="{FF2B5EF4-FFF2-40B4-BE49-F238E27FC236}">
              <a16:creationId xmlns:a16="http://schemas.microsoft.com/office/drawing/2014/main" id="{77DF03D2-7017-4CD0-A9DA-BDBDD533D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35</xdr:row>
      <xdr:rowOff>76200</xdr:rowOff>
    </xdr:from>
    <xdr:to>
      <xdr:col>12</xdr:col>
      <xdr:colOff>200026</xdr:colOff>
      <xdr:row>38</xdr:row>
      <xdr:rowOff>85725</xdr:rowOff>
    </xdr:to>
    <xdr:sp macro="" textlink="">
      <xdr:nvSpPr>
        <xdr:cNvPr id="2" name="CaixaDeTexto 1">
          <a:extLst>
            <a:ext uri="{FF2B5EF4-FFF2-40B4-BE49-F238E27FC236}">
              <a16:creationId xmlns:a16="http://schemas.microsoft.com/office/drawing/2014/main" id="{1BD92AF0-F451-ABA9-7AF1-DB7DCB642CB6}"/>
            </a:ext>
          </a:extLst>
        </xdr:cNvPr>
        <xdr:cNvSpPr txBox="1"/>
      </xdr:nvSpPr>
      <xdr:spPr>
        <a:xfrm>
          <a:off x="57150" y="7315200"/>
          <a:ext cx="7534276" cy="581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a:t>Across both awards, the data suggests a league-wide shift from volume-based dominance toward efficiency-driven impact, highlighting how modern basketball increasingly rewards optimized performance over total accumulation.</a:t>
          </a:r>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9</xdr:row>
      <xdr:rowOff>128587</xdr:rowOff>
    </xdr:from>
    <xdr:to>
      <xdr:col>4</xdr:col>
      <xdr:colOff>723900</xdr:colOff>
      <xdr:row>24</xdr:row>
      <xdr:rowOff>14287</xdr:rowOff>
    </xdr:to>
    <xdr:graphicFrame macro="">
      <xdr:nvGraphicFramePr>
        <xdr:cNvPr id="3" name="Gráfico 2">
          <a:extLst>
            <a:ext uri="{FF2B5EF4-FFF2-40B4-BE49-F238E27FC236}">
              <a16:creationId xmlns:a16="http://schemas.microsoft.com/office/drawing/2014/main" id="{825467F0-77C5-5295-B839-F0DA83267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200025</xdr:colOff>
      <xdr:row>9</xdr:row>
      <xdr:rowOff>138112</xdr:rowOff>
    </xdr:from>
    <xdr:to>
      <xdr:col>11</xdr:col>
      <xdr:colOff>428625</xdr:colOff>
      <xdr:row>24</xdr:row>
      <xdr:rowOff>23812</xdr:rowOff>
    </xdr:to>
    <xdr:graphicFrame macro="">
      <xdr:nvGraphicFramePr>
        <xdr:cNvPr id="4" name="Gráfico 3">
          <a:extLst>
            <a:ext uri="{FF2B5EF4-FFF2-40B4-BE49-F238E27FC236}">
              <a16:creationId xmlns:a16="http://schemas.microsoft.com/office/drawing/2014/main" id="{3E4BC912-32C9-DC04-5C49-33383860A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24</xdr:row>
      <xdr:rowOff>176212</xdr:rowOff>
    </xdr:from>
    <xdr:to>
      <xdr:col>4</xdr:col>
      <xdr:colOff>723900</xdr:colOff>
      <xdr:row>39</xdr:row>
      <xdr:rowOff>61912</xdr:rowOff>
    </xdr:to>
    <xdr:graphicFrame macro="">
      <xdr:nvGraphicFramePr>
        <xdr:cNvPr id="5" name="Gráfico 4">
          <a:extLst>
            <a:ext uri="{FF2B5EF4-FFF2-40B4-BE49-F238E27FC236}">
              <a16:creationId xmlns:a16="http://schemas.microsoft.com/office/drawing/2014/main" id="{515041B0-1EC4-616E-D19E-349A84CF91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209550</xdr:colOff>
      <xdr:row>24</xdr:row>
      <xdr:rowOff>185737</xdr:rowOff>
    </xdr:from>
    <xdr:to>
      <xdr:col>11</xdr:col>
      <xdr:colOff>428625</xdr:colOff>
      <xdr:row>39</xdr:row>
      <xdr:rowOff>71437</xdr:rowOff>
    </xdr:to>
    <xdr:graphicFrame macro="">
      <xdr:nvGraphicFramePr>
        <xdr:cNvPr id="6" name="Gráfico 5">
          <a:extLst>
            <a:ext uri="{FF2B5EF4-FFF2-40B4-BE49-F238E27FC236}">
              <a16:creationId xmlns:a16="http://schemas.microsoft.com/office/drawing/2014/main" id="{2BD7838F-6CF4-2582-75E0-5626C6ED0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40</xdr:row>
      <xdr:rowOff>4762</xdr:rowOff>
    </xdr:from>
    <xdr:to>
      <xdr:col>4</xdr:col>
      <xdr:colOff>723900</xdr:colOff>
      <xdr:row>54</xdr:row>
      <xdr:rowOff>80962</xdr:rowOff>
    </xdr:to>
    <xdr:graphicFrame macro="">
      <xdr:nvGraphicFramePr>
        <xdr:cNvPr id="8" name="Gráfico 7">
          <a:extLst>
            <a:ext uri="{FF2B5EF4-FFF2-40B4-BE49-F238E27FC236}">
              <a16:creationId xmlns:a16="http://schemas.microsoft.com/office/drawing/2014/main" id="{2FF19C28-C484-AA6E-F9FF-26128835A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123825</xdr:colOff>
      <xdr:row>40</xdr:row>
      <xdr:rowOff>4762</xdr:rowOff>
    </xdr:from>
    <xdr:to>
      <xdr:col>11</xdr:col>
      <xdr:colOff>342900</xdr:colOff>
      <xdr:row>54</xdr:row>
      <xdr:rowOff>80962</xdr:rowOff>
    </xdr:to>
    <xdr:graphicFrame macro="">
      <xdr:nvGraphicFramePr>
        <xdr:cNvPr id="9" name="Gráfico 8">
          <a:extLst>
            <a:ext uri="{FF2B5EF4-FFF2-40B4-BE49-F238E27FC236}">
              <a16:creationId xmlns:a16="http://schemas.microsoft.com/office/drawing/2014/main" id="{9C2BF5E9-02F5-1B61-FEC1-72E766687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6</xdr:row>
      <xdr:rowOff>100012</xdr:rowOff>
    </xdr:from>
    <xdr:to>
      <xdr:col>4</xdr:col>
      <xdr:colOff>781050</xdr:colOff>
      <xdr:row>20</xdr:row>
      <xdr:rowOff>176212</xdr:rowOff>
    </xdr:to>
    <xdr:graphicFrame macro="">
      <xdr:nvGraphicFramePr>
        <xdr:cNvPr id="6" name="Gráfico 5">
          <a:extLst>
            <a:ext uri="{FF2B5EF4-FFF2-40B4-BE49-F238E27FC236}">
              <a16:creationId xmlns:a16="http://schemas.microsoft.com/office/drawing/2014/main" id="{74A37167-A085-366C-47D6-F62176B2D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xdr:colOff>
      <xdr:row>6</xdr:row>
      <xdr:rowOff>100012</xdr:rowOff>
    </xdr:from>
    <xdr:to>
      <xdr:col>11</xdr:col>
      <xdr:colOff>523875</xdr:colOff>
      <xdr:row>20</xdr:row>
      <xdr:rowOff>176212</xdr:rowOff>
    </xdr:to>
    <xdr:graphicFrame macro="">
      <xdr:nvGraphicFramePr>
        <xdr:cNvPr id="7" name="Gráfico 6">
          <a:extLst>
            <a:ext uri="{FF2B5EF4-FFF2-40B4-BE49-F238E27FC236}">
              <a16:creationId xmlns:a16="http://schemas.microsoft.com/office/drawing/2014/main" id="{3C4210C3-0ED8-AEB5-799F-A4AC2495D4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4762</xdr:rowOff>
    </xdr:from>
    <xdr:to>
      <xdr:col>4</xdr:col>
      <xdr:colOff>762000</xdr:colOff>
      <xdr:row>36</xdr:row>
      <xdr:rowOff>80962</xdr:rowOff>
    </xdr:to>
    <xdr:graphicFrame macro="">
      <xdr:nvGraphicFramePr>
        <xdr:cNvPr id="8" name="Gráfico 7">
          <a:extLst>
            <a:ext uri="{FF2B5EF4-FFF2-40B4-BE49-F238E27FC236}">
              <a16:creationId xmlns:a16="http://schemas.microsoft.com/office/drawing/2014/main" id="{AC34CB40-26B2-3764-F292-5045E0415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22</xdr:row>
      <xdr:rowOff>23812</xdr:rowOff>
    </xdr:from>
    <xdr:to>
      <xdr:col>11</xdr:col>
      <xdr:colOff>523875</xdr:colOff>
      <xdr:row>36</xdr:row>
      <xdr:rowOff>100012</xdr:rowOff>
    </xdr:to>
    <xdr:graphicFrame macro="">
      <xdr:nvGraphicFramePr>
        <xdr:cNvPr id="11" name="Gráfico 10">
          <a:extLst>
            <a:ext uri="{FF2B5EF4-FFF2-40B4-BE49-F238E27FC236}">
              <a16:creationId xmlns:a16="http://schemas.microsoft.com/office/drawing/2014/main" id="{3A762C59-D7A0-9529-BE24-FEAEEBC718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6</xdr:row>
      <xdr:rowOff>119062</xdr:rowOff>
    </xdr:from>
    <xdr:to>
      <xdr:col>4</xdr:col>
      <xdr:colOff>590550</xdr:colOff>
      <xdr:row>21</xdr:row>
      <xdr:rowOff>4762</xdr:rowOff>
    </xdr:to>
    <xdr:graphicFrame macro="">
      <xdr:nvGraphicFramePr>
        <xdr:cNvPr id="2" name="Gráfico 1">
          <a:extLst>
            <a:ext uri="{FF2B5EF4-FFF2-40B4-BE49-F238E27FC236}">
              <a16:creationId xmlns:a16="http://schemas.microsoft.com/office/drawing/2014/main" id="{EEB9E3C1-1790-C4F4-5A2B-CB9430EE4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704850</xdr:colOff>
      <xdr:row>6</xdr:row>
      <xdr:rowOff>128587</xdr:rowOff>
    </xdr:from>
    <xdr:to>
      <xdr:col>10</xdr:col>
      <xdr:colOff>561975</xdr:colOff>
      <xdr:row>21</xdr:row>
      <xdr:rowOff>14287</xdr:rowOff>
    </xdr:to>
    <xdr:graphicFrame macro="">
      <xdr:nvGraphicFramePr>
        <xdr:cNvPr id="3" name="Gráfico 2">
          <a:extLst>
            <a:ext uri="{FF2B5EF4-FFF2-40B4-BE49-F238E27FC236}">
              <a16:creationId xmlns:a16="http://schemas.microsoft.com/office/drawing/2014/main" id="{37B0826B-29EA-9AA0-DCAA-ED93D4587B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104775</xdr:colOff>
      <xdr:row>21</xdr:row>
      <xdr:rowOff>90487</xdr:rowOff>
    </xdr:from>
    <xdr:to>
      <xdr:col>4</xdr:col>
      <xdr:colOff>581025</xdr:colOff>
      <xdr:row>35</xdr:row>
      <xdr:rowOff>166687</xdr:rowOff>
    </xdr:to>
    <xdr:graphicFrame macro="">
      <xdr:nvGraphicFramePr>
        <xdr:cNvPr id="7" name="Gráfico 6">
          <a:extLst>
            <a:ext uri="{FF2B5EF4-FFF2-40B4-BE49-F238E27FC236}">
              <a16:creationId xmlns:a16="http://schemas.microsoft.com/office/drawing/2014/main" id="{F02068E5-30E0-E4C3-B697-7D66B0C18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161925</xdr:colOff>
      <xdr:row>2</xdr:row>
      <xdr:rowOff>4762</xdr:rowOff>
    </xdr:from>
    <xdr:to>
      <xdr:col>9</xdr:col>
      <xdr:colOff>114300</xdr:colOff>
      <xdr:row>16</xdr:row>
      <xdr:rowOff>80962</xdr:rowOff>
    </xdr:to>
    <xdr:graphicFrame macro="">
      <xdr:nvGraphicFramePr>
        <xdr:cNvPr id="5" name="Gráfico 4">
          <a:extLst>
            <a:ext uri="{FF2B5EF4-FFF2-40B4-BE49-F238E27FC236}">
              <a16:creationId xmlns:a16="http://schemas.microsoft.com/office/drawing/2014/main" id="{7865FB89-B416-B996-5672-A30C18AC7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104775</xdr:colOff>
      <xdr:row>0</xdr:row>
      <xdr:rowOff>33337</xdr:rowOff>
    </xdr:from>
    <xdr:to>
      <xdr:col>16</xdr:col>
      <xdr:colOff>409575</xdr:colOff>
      <xdr:row>14</xdr:row>
      <xdr:rowOff>109537</xdr:rowOff>
    </xdr:to>
    <xdr:graphicFrame macro="">
      <xdr:nvGraphicFramePr>
        <xdr:cNvPr id="6" name="Gráfico 5">
          <a:extLst>
            <a:ext uri="{FF2B5EF4-FFF2-40B4-BE49-F238E27FC236}">
              <a16:creationId xmlns:a16="http://schemas.microsoft.com/office/drawing/2014/main" id="{3309B070-0C57-4905-ACD1-B23DB18AC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10</xdr:row>
      <xdr:rowOff>28575</xdr:rowOff>
    </xdr:from>
    <xdr:to>
      <xdr:col>8</xdr:col>
      <xdr:colOff>590550</xdr:colOff>
      <xdr:row>17</xdr:row>
      <xdr:rowOff>66675</xdr:rowOff>
    </xdr:to>
    <xdr:sp macro="" textlink="">
      <xdr:nvSpPr>
        <xdr:cNvPr id="2" name="CaixaDeTexto 1">
          <a:extLst>
            <a:ext uri="{FF2B5EF4-FFF2-40B4-BE49-F238E27FC236}">
              <a16:creationId xmlns:a16="http://schemas.microsoft.com/office/drawing/2014/main" id="{1A5D3C72-5AC6-72CB-A873-48873D462FF4}"/>
            </a:ext>
          </a:extLst>
        </xdr:cNvPr>
        <xdr:cNvSpPr txBox="1"/>
      </xdr:nvSpPr>
      <xdr:spPr>
        <a:xfrm>
          <a:off x="0" y="2190750"/>
          <a:ext cx="5467350"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pt-BR" b="1"/>
            <a:t>WS vs WS/48 — Total Impact vs Per-Minute Efficiency</a:t>
          </a:r>
        </a:p>
        <a:p>
          <a:pPr marL="0" marR="0" lvl="0" indent="0" defTabSz="914400" eaLnBrk="1" fontAlgn="auto" latinLnBrk="0" hangingPunct="1">
            <a:lnSpc>
              <a:spcPct val="100000"/>
            </a:lnSpc>
            <a:spcBef>
              <a:spcPts val="0"/>
            </a:spcBef>
            <a:spcAft>
              <a:spcPts val="0"/>
            </a:spcAft>
            <a:buClrTx/>
            <a:buSzTx/>
            <a:buFontTx/>
            <a:buNone/>
            <a:tabLst/>
            <a:defRPr/>
          </a:pPr>
          <a:endParaRPr lang="pt-BR" sz="1100"/>
        </a:p>
        <a:p>
          <a:r>
            <a:rPr lang="pt-BR"/>
            <a:t>Overall, the comparison between Win Shares (WS) and Win Shares per 48 minutes (WS/48) reveals a structural shift in how MVP impact is distributed over time. While total seasonal value remains relatively stable, per-minute efficiency has consistently increased, indicating that modern MVPs deliver elite impact within fewer possessions and more optimized offensive environments.</a:t>
          </a:r>
          <a:endParaRPr lang="pt-BR" sz="1100"/>
        </a:p>
      </xdr:txBody>
    </xdr:sp>
    <xdr:clientData/>
  </xdr:twoCellAnchor>
  <xdr:twoCellAnchor>
    <xdr:from>
      <xdr:col>0</xdr:col>
      <xdr:colOff>0</xdr:colOff>
      <xdr:row>18</xdr:row>
      <xdr:rowOff>152400</xdr:rowOff>
    </xdr:from>
    <xdr:to>
      <xdr:col>10</xdr:col>
      <xdr:colOff>371475</xdr:colOff>
      <xdr:row>32</xdr:row>
      <xdr:rowOff>9526</xdr:rowOff>
    </xdr:to>
    <xdr:sp macro="" textlink="">
      <xdr:nvSpPr>
        <xdr:cNvPr id="3" name="CaixaDeTexto 2">
          <a:extLst>
            <a:ext uri="{FF2B5EF4-FFF2-40B4-BE49-F238E27FC236}">
              <a16:creationId xmlns:a16="http://schemas.microsoft.com/office/drawing/2014/main" id="{550A3FF2-A44A-44C2-45F8-8069D29B8137}"/>
            </a:ext>
          </a:extLst>
        </xdr:cNvPr>
        <xdr:cNvSpPr txBox="1"/>
      </xdr:nvSpPr>
      <xdr:spPr>
        <a:xfrm>
          <a:off x="0" y="3838575"/>
          <a:ext cx="6467475" cy="2524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Correlation Analysis: What Drives MVP Impact?</a:t>
          </a:r>
        </a:p>
        <a:p>
          <a:endParaRPr lang="pt-BR" sz="1100" b="1"/>
        </a:p>
        <a:p>
          <a:r>
            <a:rPr lang="pt-BR"/>
            <a:t>The correlation analysis reinforces a clear shift in what defines MVP impact over time. Total Win Shares (WS) show a </a:t>
          </a:r>
          <a:r>
            <a:rPr lang="pt-BR" b="1"/>
            <a:t>moderate correlation with scoring volume (PTS)</a:t>
          </a:r>
          <a:r>
            <a:rPr lang="pt-BR"/>
            <a:t>, confirming that offensive production remains an important component of MVP evaluation.</a:t>
          </a:r>
        </a:p>
        <a:p>
          <a:r>
            <a:rPr lang="pt-BR"/>
            <a:t>However, the strongest relationship emerges between </a:t>
          </a:r>
          <a:r>
            <a:rPr lang="pt-BR" b="1"/>
            <a:t>Win Shares per 48 minutes (WS/48) and shooting efficiency (FG%)</a:t>
          </a:r>
          <a:r>
            <a:rPr lang="pt-BR"/>
            <a:t>, indicating that </a:t>
          </a:r>
          <a:r>
            <a:rPr lang="pt-BR" b="1"/>
            <a:t>per-minute impact is increasingly driven by efficiency rather than sheer volume</a:t>
          </a:r>
          <a:r>
            <a:rPr lang="pt-BR"/>
            <a:t>. This suggests that modern MVPs generate elite value by converting possessions more effectively, not simply by accumulating higher usage.</a:t>
          </a:r>
        </a:p>
        <a:p>
          <a:r>
            <a:rPr lang="pt-BR"/>
            <a:t>Playmaking (AST) and rebounding (TRB) exhibit relatively weak correlations with both WS and WS/48, implying that auxiliary box-score contributions play a secondary role compared to efficient scoring in MVP selection.</a:t>
          </a:r>
        </a:p>
        <a:p>
          <a:r>
            <a:rPr lang="pt-BR"/>
            <a:t>Overall, the correlation results support the broader trend observed across decades: </a:t>
          </a:r>
          <a:r>
            <a:rPr lang="pt-BR" b="1"/>
            <a:t>MVP evaluation has evolved toward efficiency-driven offensive dominance, contextualized by pace, role optimization, and per-minute effectiveness rather than raw seasonal accumulation.</a:t>
          </a:r>
          <a:endParaRPr lang="pt-BR"/>
        </a:p>
        <a:p>
          <a:endParaRPr lang="pt-BR"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10</xdr:row>
      <xdr:rowOff>47625</xdr:rowOff>
    </xdr:from>
    <xdr:to>
      <xdr:col>11</xdr:col>
      <xdr:colOff>142875</xdr:colOff>
      <xdr:row>16</xdr:row>
      <xdr:rowOff>0</xdr:rowOff>
    </xdr:to>
    <xdr:sp macro="" textlink="">
      <xdr:nvSpPr>
        <xdr:cNvPr id="2" name="CaixaDeTexto 1">
          <a:extLst>
            <a:ext uri="{FF2B5EF4-FFF2-40B4-BE49-F238E27FC236}">
              <a16:creationId xmlns:a16="http://schemas.microsoft.com/office/drawing/2014/main" id="{6371FE84-C4CA-6C30-E80A-79753271951C}"/>
            </a:ext>
          </a:extLst>
        </xdr:cNvPr>
        <xdr:cNvSpPr txBox="1"/>
      </xdr:nvSpPr>
      <xdr:spPr>
        <a:xfrm>
          <a:off x="0" y="1819275"/>
          <a:ext cx="7467600" cy="1095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b="1"/>
            <a:t>WS vs WS/48: Total Defensive Impact vs Per-Minute Efficiency</a:t>
          </a:r>
        </a:p>
        <a:p>
          <a:endParaRPr lang="pt-BR" sz="1100"/>
        </a:p>
        <a:p>
          <a:r>
            <a:rPr lang="pt-BR" sz="1100"/>
            <a:t>Overall, the comparison between Win Shares (WS) and Win Shares per 48 minutes (WS/48) shows that while total defensive impact fluctuates across eras, per-minute defensive efficiency has become more consistent. This reflects a modern defensive landscape shaped by specialization, system design, and optimized usage rather than raw defensive volume.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12</xdr:row>
      <xdr:rowOff>114300</xdr:rowOff>
    </xdr:from>
    <xdr:to>
      <xdr:col>6</xdr:col>
      <xdr:colOff>552450</xdr:colOff>
      <xdr:row>26</xdr:row>
      <xdr:rowOff>85725</xdr:rowOff>
    </xdr:to>
    <xdr:sp macro="" textlink="">
      <xdr:nvSpPr>
        <xdr:cNvPr id="2" name="CaixaDeTexto 1">
          <a:extLst>
            <a:ext uri="{FF2B5EF4-FFF2-40B4-BE49-F238E27FC236}">
              <a16:creationId xmlns:a16="http://schemas.microsoft.com/office/drawing/2014/main" id="{D0D4D995-F8DF-E0F2-4BFD-56B136CA2182}"/>
            </a:ext>
          </a:extLst>
        </xdr:cNvPr>
        <xdr:cNvSpPr txBox="1"/>
      </xdr:nvSpPr>
      <xdr:spPr>
        <a:xfrm>
          <a:off x="0" y="3038475"/>
          <a:ext cx="4210050" cy="2638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i="1"/>
            <a:t>The analysis of Rookie of the Year (ROY) winners across decades reveals a clear structural shift in how early-career impact is distributed.</a:t>
          </a:r>
          <a:endParaRPr lang="pt-BR"/>
        </a:p>
        <a:p>
          <a:r>
            <a:rPr lang="pt-BR" i="1"/>
            <a:t>Both total Win Shares (WS) and Win Shares per 48 minutes (WS/48) show a consistent decline over time. Earlier ROY winners accumulated higher total value and demonstrated stronger per-minute efficiency, reflecting larger roles and greater immediate responsibility.</a:t>
          </a:r>
          <a:endParaRPr lang="pt-BR"/>
        </a:p>
        <a:p>
          <a:r>
            <a:rPr lang="pt-BR" i="1"/>
            <a:t>In contrast, modern ROY winners tend to contribute less in both total impact and efficiency metrics. This suggests that recent rookies are integrated more gradually into team systems, with controlled minutes, specialized roles, and lower early usage.</a:t>
          </a:r>
          <a:endParaRPr lang="pt-BR"/>
        </a:p>
        <a:p>
          <a:r>
            <a:rPr lang="pt-BR" i="1"/>
            <a:t>Overall, the ROY award has shifted away from recognizing immediate high-impact contributors toward younger players selected for long-term potential, development trajectory, and contextual value rather than short-term statistical dominance.</a:t>
          </a:r>
          <a:endParaRPr lang="pt-BR"/>
        </a:p>
      </xdr:txBody>
    </xdr:sp>
    <xdr:clientData/>
  </xdr:twoCellAnchor>
  <xdr:twoCellAnchor>
    <xdr:from>
      <xdr:col>0</xdr:col>
      <xdr:colOff>9525</xdr:colOff>
      <xdr:row>28</xdr:row>
      <xdr:rowOff>180974</xdr:rowOff>
    </xdr:from>
    <xdr:to>
      <xdr:col>7</xdr:col>
      <xdr:colOff>161925</xdr:colOff>
      <xdr:row>34</xdr:row>
      <xdr:rowOff>28575</xdr:rowOff>
    </xdr:to>
    <xdr:sp macro="" textlink="">
      <xdr:nvSpPr>
        <xdr:cNvPr id="21505" name="Text Box 1">
          <a:extLst>
            <a:ext uri="{FF2B5EF4-FFF2-40B4-BE49-F238E27FC236}">
              <a16:creationId xmlns:a16="http://schemas.microsoft.com/office/drawing/2014/main" id="{E2E0E98C-6B76-4F41-17B6-CC874E76E6B1}"/>
            </a:ext>
          </a:extLst>
        </xdr:cNvPr>
        <xdr:cNvSpPr txBox="1">
          <a:spLocks noChangeArrowheads="1"/>
        </xdr:cNvSpPr>
      </xdr:nvSpPr>
      <xdr:spPr bwMode="auto">
        <a:xfrm>
          <a:off x="9525" y="6343649"/>
          <a:ext cx="4419600" cy="990601"/>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pt-BR" sz="1100" b="0" i="0" u="none" strike="noStrike" baseline="0">
              <a:solidFill>
                <a:srgbClr val="000000"/>
              </a:solidFill>
              <a:latin typeface="+mn-lt"/>
              <a:ea typeface="Calibri"/>
              <a:cs typeface="Calibri"/>
            </a:rPr>
            <a:t>Across MVP, DPOY, and ROY, the data highlights a league-wide evolution in award profiles:</a:t>
          </a:r>
        </a:p>
        <a:p>
          <a:pPr algn="l" rtl="0">
            <a:defRPr sz="1000"/>
          </a:pPr>
          <a:r>
            <a:rPr lang="pt-BR" sz="1100" b="0" i="0" u="none" strike="noStrike" baseline="0">
              <a:solidFill>
                <a:srgbClr val="000000"/>
              </a:solidFill>
              <a:latin typeface="+mn-lt"/>
              <a:ea typeface="Calibri"/>
              <a:cs typeface="Calibri"/>
            </a:rPr>
            <a:t>• MVP and DPOY increasingly reward efficiency over volume.</a:t>
          </a:r>
        </a:p>
        <a:p>
          <a:pPr algn="l" rtl="0">
            <a:defRPr sz="1000"/>
          </a:pPr>
          <a:r>
            <a:rPr lang="pt-BR" sz="1100" b="0" i="0" u="none" strike="noStrike" baseline="0">
              <a:solidFill>
                <a:srgbClr val="000000"/>
              </a:solidFill>
              <a:latin typeface="+mn-lt"/>
              <a:ea typeface="Calibri"/>
              <a:cs typeface="Calibri"/>
            </a:rPr>
            <a:t>• ROY increasingly rewards potential and long-term projection over immediate impact.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19050</xdr:colOff>
      <xdr:row>11</xdr:row>
      <xdr:rowOff>76201</xdr:rowOff>
    </xdr:from>
    <xdr:to>
      <xdr:col>11</xdr:col>
      <xdr:colOff>485775</xdr:colOff>
      <xdr:row>17</xdr:row>
      <xdr:rowOff>38101</xdr:rowOff>
    </xdr:to>
    <xdr:sp macro="" textlink="">
      <xdr:nvSpPr>
        <xdr:cNvPr id="2" name="CaixaDeTexto 1">
          <a:extLst>
            <a:ext uri="{FF2B5EF4-FFF2-40B4-BE49-F238E27FC236}">
              <a16:creationId xmlns:a16="http://schemas.microsoft.com/office/drawing/2014/main" id="{8E33C95F-7F3A-AE7A-B1CD-7AA46792C13A}"/>
            </a:ext>
          </a:extLst>
        </xdr:cNvPr>
        <xdr:cNvSpPr txBox="1"/>
      </xdr:nvSpPr>
      <xdr:spPr>
        <a:xfrm>
          <a:off x="19050" y="2600326"/>
          <a:ext cx="7172325" cy="1104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a:t>Across MVP, DPOY, and ROY, the data suggests a clear evolution in what the NBA rewards. MVP and DPOY increasingly reflect efficiency and optimized performance over raw seasonal volume, while ROY has shifted toward recognizing younger players with long-term trajectory rather than immediate dominance. Overall, modern awards appear more sensitive to context, role design, and per-minute value — reflecting how the game itself has become more specialized, system-driven, and efficiency-oriented.</a:t>
          </a:r>
          <a:endParaRPr lang="pt-BR"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refreshedDate="46013.410300578704" createdVersion="8" refreshedVersion="8" minRefreshableVersion="3" recordCount="37" xr:uid="{D805BDA1-C9EF-4552-94B7-A6054739F195}">
  <cacheSource type="worksheet">
    <worksheetSource name="Tabela2"/>
  </cacheSource>
  <cacheFields count="9">
    <cacheField name="Year" numFmtId="1">
      <sharedItems containsSemiMixedTypes="0" containsString="0" containsNumber="1" minValue="1989" maxValue="2024" count="37">
        <n v="2024"/>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n v="2006.5"/>
      </sharedItems>
      <fieldGroup base="0">
        <rangePr startNum="1989" endNum="2024" groupInterval="10"/>
        <groupItems count="6">
          <s v="&lt;1989"/>
          <s v="1989-1999"/>
          <s v="1999-2009"/>
          <s v="2009-2019"/>
          <s v="2019-2029"/>
          <s v="&gt;2029"/>
        </groupItems>
      </fieldGroup>
    </cacheField>
    <cacheField name="PTS" numFmtId="0">
      <sharedItems containsString="0" containsBlank="1" containsNumber="1" minValue="15.5" maxValue="33.1"/>
    </cacheField>
    <cacheField name="TRB" numFmtId="0">
      <sharedItems containsString="0" containsBlank="1" containsNumber="1" minValue="3.3" maxValue="13.9"/>
    </cacheField>
    <cacheField name="AST" numFmtId="0">
      <sharedItems containsString="0" containsBlank="1" containsNumber="1" minValue="2.9" maxValue="11.5"/>
    </cacheField>
    <cacheField name="STL" numFmtId="0">
      <sharedItems containsString="0" containsBlank="1" containsNumber="1" minValue="0.5" maxValue="2.7"/>
    </cacheField>
    <cacheField name="BLK" numFmtId="0">
      <sharedItems containsString="0" containsBlank="1" containsNumber="1" minValue="0.1" maxValue="3.7"/>
    </cacheField>
    <cacheField name="FG%" numFmtId="0">
      <sharedItems containsString="0" containsBlank="1" containsNumber="1" minValue="0.42" maxValue="0.58299999999999996"/>
    </cacheField>
    <cacheField name="WS" numFmtId="0">
      <sharedItems containsString="0" containsBlank="1" containsNumber="1" minValue="9.6" maxValue="20.399999999999999"/>
    </cacheField>
    <cacheField name="WS/48" numFmtId="0">
      <sharedItems containsString="0" containsBlank="1" containsNumber="1" minValue="0.19" maxValue="0.322000000000000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refreshedDate="46013.692797569442" createdVersion="8" refreshedVersion="8" minRefreshableVersion="3" recordCount="36" xr:uid="{8DEB24AF-08C0-473E-8E98-B7E8B33B1BEA}">
  <cacheSource type="worksheet">
    <worksheetSource name="DPOY"/>
  </cacheSource>
  <cacheFields count="13">
    <cacheField name="Season" numFmtId="0">
      <sharedItems/>
    </cacheField>
    <cacheField name="Year" numFmtId="1">
      <sharedItems containsSemiMixedTypes="0" containsString="0" containsNumber="1" containsInteger="1" minValue="1989" maxValue="2024" count="36">
        <n v="2024"/>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sharedItems>
    </cacheField>
    <cacheField name="Player" numFmtId="0">
      <sharedItems/>
    </cacheField>
    <cacheField name="Age" numFmtId="0">
      <sharedItems containsSemiMixedTypes="0" containsString="0" containsNumber="1" containsInteger="1" minValue="23" maxValue="34"/>
    </cacheField>
    <cacheField name="Team" numFmtId="0">
      <sharedItems/>
    </cacheField>
    <cacheField name="G" numFmtId="0">
      <sharedItems containsSemiMixedTypes="0" containsString="0" containsNumber="1" containsInteger="1" minValue="46" maxValue="82"/>
    </cacheField>
    <cacheField name="MP" numFmtId="0">
      <sharedItems containsSemiMixedTypes="0" containsString="0" containsNumber="1" minValue="28.4" maxValue="41"/>
    </cacheField>
    <cacheField name="MP corrigido" numFmtId="0">
      <sharedItems containsSemiMixedTypes="0" containsString="0" containsNumber="1" minValue="28.4" maxValue="41"/>
    </cacheField>
    <cacheField name="TRB" numFmtId="0">
      <sharedItems containsSemiMixedTypes="0" containsString="0" containsNumber="1" minValue="3.8" maxValue="15.4"/>
    </cacheField>
    <cacheField name="STL" numFmtId="0">
      <sharedItems containsSemiMixedTypes="0" containsString="0" containsNumber="1" minValue="0.4" maxValue="2.9"/>
    </cacheField>
    <cacheField name="BLK" numFmtId="0">
      <sharedItems containsSemiMixedTypes="0" containsString="0" containsNumber="1" minValue="0.2" maxValue="4.5"/>
    </cacheField>
    <cacheField name="WS" numFmtId="0">
      <sharedItems containsSemiMixedTypes="0" containsString="0" containsNumber="1" minValue="5.6" maxValue="15.8"/>
    </cacheField>
    <cacheField name="WS/48" numFmtId="2">
      <sharedItems containsSemiMixedTypes="0" containsString="0" containsNumber="1" minValue="0.11721100597392403" maxValue="0.278195488721804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refreshedDate="46013.818016319441" createdVersion="8" refreshedVersion="8" minRefreshableVersion="3" recordCount="38" xr:uid="{922E44F4-FBCF-4C17-8362-9966F74BA7FA}">
  <cacheSource type="worksheet">
    <worksheetSource name="Tabela9"/>
  </cacheSource>
  <cacheFields count="14">
    <cacheField name="Season" numFmtId="0">
      <sharedItems/>
    </cacheField>
    <cacheField name="Year" numFmtId="0">
      <sharedItems containsSemiMixedTypes="0" containsString="0" containsNumber="1" containsInteger="1" minValue="1989" maxValue="2024" count="36">
        <n v="2024"/>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sharedItems>
      <fieldGroup base="1">
        <rangePr startNum="1989" endNum="2024" groupInterval="10"/>
        <groupItems count="6">
          <s v="&lt;1989"/>
          <s v="1989-1998"/>
          <s v="1999-2008"/>
          <s v="2009-2018"/>
          <s v="2019-2028"/>
          <s v="&gt;2029"/>
        </groupItems>
      </fieldGroup>
    </cacheField>
    <cacheField name="Player" numFmtId="0">
      <sharedItems/>
    </cacheField>
    <cacheField name="Age" numFmtId="0">
      <sharedItems containsSemiMixedTypes="0" containsString="0" containsNumber="1" containsInteger="1" minValue="19" maxValue="24"/>
    </cacheField>
    <cacheField name="Team" numFmtId="0">
      <sharedItems/>
    </cacheField>
    <cacheField name="G" numFmtId="0">
      <sharedItems containsSemiMixedTypes="0" containsString="0" containsNumber="1" containsInteger="1" minValue="50" maxValue="82"/>
    </cacheField>
    <cacheField name="MP" numFmtId="2">
      <sharedItems containsSemiMixedTypes="0" containsString="0" containsNumber="1" minValue="26.4" maxValue="40.9"/>
    </cacheField>
    <cacheField name="PTS" numFmtId="164">
      <sharedItems containsSemiMixedTypes="0" containsString="0" containsNumber="1" minValue="10.199999999999999" maxValue="24.3"/>
    </cacheField>
    <cacheField name="TRB" numFmtId="164">
      <sharedItems containsSemiMixedTypes="0" containsString="0" containsNumber="1" minValue="2.8" maxValue="13.9"/>
    </cacheField>
    <cacheField name="AST" numFmtId="164">
      <sharedItems containsSemiMixedTypes="0" containsString="0" containsNumber="1" minValue="0.9" maxValue="9.3000000000000007"/>
    </cacheField>
    <cacheField name="STL" numFmtId="164">
      <sharedItems containsSemiMixedTypes="0" containsString="0" containsNumber="1" minValue="0.5" maxValue="2.2000000000000002"/>
    </cacheField>
    <cacheField name="BLK" numFmtId="164">
      <sharedItems containsSemiMixedTypes="0" containsString="0" containsNumber="1" minValue="0.1" maxValue="3.9"/>
    </cacheField>
    <cacheField name="WS" numFmtId="164">
      <sharedItems containsSemiMixedTypes="0" containsString="0" containsNumber="1" minValue="1.1000000000000001" maxValue="15.1"/>
    </cacheField>
    <cacheField name="WS/48" numFmtId="165">
      <sharedItems containsSemiMixedTypes="0" containsString="0" containsNumber="1" minValue="2.5000000000000001E-2" maxValue="0.2409999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X" refreshedDate="46014.808576736112" createdVersion="8" refreshedVersion="8" minRefreshableVersion="3" recordCount="36" xr:uid="{4451AE8E-7D73-449D-9D56-DCFCF2D96A88}">
  <cacheSource type="worksheet">
    <worksheetSource name="DPOY12"/>
  </cacheSource>
  <cacheFields count="13">
    <cacheField name="Season" numFmtId="0">
      <sharedItems/>
    </cacheField>
    <cacheField name="Year" numFmtId="1">
      <sharedItems containsSemiMixedTypes="0" containsString="0" containsNumber="1" containsInteger="1" minValue="1989" maxValue="2024" count="36">
        <n v="2024"/>
        <n v="2023"/>
        <n v="2022"/>
        <n v="2021"/>
        <n v="2020"/>
        <n v="2019"/>
        <n v="2018"/>
        <n v="2017"/>
        <n v="2016"/>
        <n v="2015"/>
        <n v="2014"/>
        <n v="2013"/>
        <n v="2012"/>
        <n v="2011"/>
        <n v="2010"/>
        <n v="2009"/>
        <n v="2008"/>
        <n v="2007"/>
        <n v="2006"/>
        <n v="2005"/>
        <n v="2004"/>
        <n v="2003"/>
        <n v="2002"/>
        <n v="2001"/>
        <n v="2000"/>
        <n v="1999"/>
        <n v="1998"/>
        <n v="1997"/>
        <n v="1996"/>
        <n v="1995"/>
        <n v="1994"/>
        <n v="1993"/>
        <n v="1992"/>
        <n v="1991"/>
        <n v="1990"/>
        <n v="1989"/>
      </sharedItems>
      <fieldGroup base="1">
        <rangePr startNum="1989" endNum="2024" groupInterval="10"/>
        <groupItems count="6">
          <s v="&lt;1989"/>
          <s v="1989-1998"/>
          <s v="1999-2008"/>
          <s v="2009-2018"/>
          <s v="2019-2028"/>
          <s v="&gt;2029"/>
        </groupItems>
      </fieldGroup>
    </cacheField>
    <cacheField name="Player" numFmtId="0">
      <sharedItems/>
    </cacheField>
    <cacheField name="Age" numFmtId="0">
      <sharedItems containsSemiMixedTypes="0" containsString="0" containsNumber="1" containsInteger="1" minValue="23" maxValue="34"/>
    </cacheField>
    <cacheField name="Team" numFmtId="0">
      <sharedItems/>
    </cacheField>
    <cacheField name="G" numFmtId="0">
      <sharedItems containsSemiMixedTypes="0" containsString="0" containsNumber="1" containsInteger="1" minValue="46" maxValue="82"/>
    </cacheField>
    <cacheField name="MP" numFmtId="0">
      <sharedItems containsSemiMixedTypes="0" containsString="0" containsNumber="1" minValue="28.4" maxValue="41"/>
    </cacheField>
    <cacheField name="MP corrigido" numFmtId="0">
      <sharedItems containsSemiMixedTypes="0" containsString="0" containsNumber="1" minValue="28.4" maxValue="41"/>
    </cacheField>
    <cacheField name="TRB" numFmtId="0">
      <sharedItems containsSemiMixedTypes="0" containsString="0" containsNumber="1" minValue="3.8" maxValue="15.4"/>
    </cacheField>
    <cacheField name="STL" numFmtId="0">
      <sharedItems containsSemiMixedTypes="0" containsString="0" containsNumber="1" minValue="0.4" maxValue="2.9"/>
    </cacheField>
    <cacheField name="BLK" numFmtId="0">
      <sharedItems containsSemiMixedTypes="0" containsString="0" containsNumber="1" minValue="0.2" maxValue="4.5"/>
    </cacheField>
    <cacheField name="WS" numFmtId="0">
      <sharedItems containsSemiMixedTypes="0" containsString="0" containsNumber="1" minValue="5.6" maxValue="15.8"/>
    </cacheField>
    <cacheField name="WS/48" numFmtId="2">
      <sharedItems containsSemiMixedTypes="0" containsString="0" containsNumber="1" minValue="0.11721100597392403" maxValue="0.278195488721804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n v="32.700000000000003"/>
    <n v="5"/>
    <n v="6.4"/>
    <n v="1.7"/>
    <n v="1"/>
    <n v="0.51900000000000002"/>
    <n v="16.7"/>
    <n v="0.309"/>
  </r>
  <r>
    <x v="1"/>
    <n v="26.4"/>
    <n v="12.4"/>
    <n v="9"/>
    <n v="1.4"/>
    <n v="0.9"/>
    <n v="0.58299999999999996"/>
    <n v="17"/>
    <n v="0.29899999999999999"/>
  </r>
  <r>
    <x v="2"/>
    <n v="33.1"/>
    <n v="10.199999999999999"/>
    <n v="4.2"/>
    <n v="1"/>
    <n v="1.7"/>
    <n v="0.54800000000000004"/>
    <n v="12.3"/>
    <n v="0.25900000000000001"/>
  </r>
  <r>
    <x v="3"/>
    <n v="27.1"/>
    <n v="13.8"/>
    <n v="7.9"/>
    <n v="1.5"/>
    <n v="0.9"/>
    <n v="0.58299999999999996"/>
    <n v="15.2"/>
    <n v="0.29599999999999999"/>
  </r>
  <r>
    <x v="4"/>
    <n v="26.4"/>
    <n v="10.8"/>
    <n v="8.3000000000000007"/>
    <n v="1.3"/>
    <n v="0.7"/>
    <n v="0.56599999999999995"/>
    <n v="15.6"/>
    <n v="0.30099999999999999"/>
  </r>
  <r>
    <x v="5"/>
    <n v="29.5"/>
    <n v="13.6"/>
    <n v="5.6"/>
    <n v="1"/>
    <n v="1"/>
    <n v="0.55300000000000005"/>
    <n v="11.1"/>
    <n v="0.27900000000000003"/>
  </r>
  <r>
    <x v="6"/>
    <n v="27.7"/>
    <n v="12.5"/>
    <n v="5.9"/>
    <n v="1.3"/>
    <n v="1.5"/>
    <n v="0.57799999999999996"/>
    <n v="14.4"/>
    <n v="0.29199999999999998"/>
  </r>
  <r>
    <x v="7"/>
    <n v="30.4"/>
    <n v="5.4"/>
    <n v="8.8000000000000007"/>
    <n v="1.8"/>
    <n v="0.7"/>
    <n v="0.44900000000000001"/>
    <n v="15.4"/>
    <n v="0.28899999999999998"/>
  </r>
  <r>
    <x v="8"/>
    <n v="31.6"/>
    <n v="10.7"/>
    <n v="10.4"/>
    <n v="1.6"/>
    <n v="0.4"/>
    <n v="0.42499999999999999"/>
    <n v="13.1"/>
    <n v="0.224"/>
  </r>
  <r>
    <x v="9"/>
    <n v="30.1"/>
    <n v="5.4"/>
    <n v="6.7"/>
    <n v="2.1"/>
    <n v="0.2"/>
    <n v="0.504"/>
    <n v="17.899999999999999"/>
    <n v="0.318"/>
  </r>
  <r>
    <x v="10"/>
    <n v="23.8"/>
    <n v="4.3"/>
    <n v="7.7"/>
    <n v="2"/>
    <n v="0.2"/>
    <n v="0.48699999999999999"/>
    <n v="15.7"/>
    <n v="0.28799999999999998"/>
  </r>
  <r>
    <x v="11"/>
    <n v="32"/>
    <n v="7.4"/>
    <n v="5.5"/>
    <n v="1.3"/>
    <n v="0.7"/>
    <n v="0.503"/>
    <n v="19.2"/>
    <n v="0.29499999999999998"/>
  </r>
  <r>
    <x v="12"/>
    <n v="26.8"/>
    <n v="8"/>
    <n v="7.3"/>
    <n v="1.7"/>
    <n v="0.9"/>
    <n v="0.56499999999999995"/>
    <n v="19.3"/>
    <n v="0.32200000000000001"/>
  </r>
  <r>
    <x v="13"/>
    <n v="27.1"/>
    <n v="7.9"/>
    <n v="6.2"/>
    <n v="1.9"/>
    <n v="0.8"/>
    <n v="0.53100000000000003"/>
    <n v="14.5"/>
    <n v="0.29799999999999999"/>
  </r>
  <r>
    <x v="14"/>
    <n v="25"/>
    <n v="4.0999999999999996"/>
    <n v="7.7"/>
    <n v="1"/>
    <n v="0.6"/>
    <n v="0.44500000000000001"/>
    <n v="13.1"/>
    <n v="0.20799999999999999"/>
  </r>
  <r>
    <x v="15"/>
    <n v="29.7"/>
    <n v="7.3"/>
    <n v="8.6"/>
    <n v="1.6"/>
    <n v="1"/>
    <n v="0.503"/>
    <n v="18.5"/>
    <n v="0.29899999999999999"/>
  </r>
  <r>
    <x v="16"/>
    <n v="28.4"/>
    <n v="7.6"/>
    <n v="7.2"/>
    <n v="1.7"/>
    <n v="1.1000000000000001"/>
    <n v="0.48899999999999999"/>
    <n v="20.3"/>
    <n v="0.318"/>
  </r>
  <r>
    <x v="17"/>
    <n v="28.3"/>
    <n v="6.3"/>
    <n v="5.4"/>
    <n v="1.8"/>
    <n v="0.5"/>
    <n v="0.45900000000000002"/>
    <n v="13.8"/>
    <n v="0.20799999999999999"/>
  </r>
  <r>
    <x v="18"/>
    <n v="24.6"/>
    <n v="8.9"/>
    <n v="3.4"/>
    <n v="0.7"/>
    <n v="0.8"/>
    <n v="0.502"/>
    <n v="16.3"/>
    <n v="0.27800000000000002"/>
  </r>
  <r>
    <x v="19"/>
    <n v="18.8"/>
    <n v="4.2"/>
    <n v="10.5"/>
    <n v="0.8"/>
    <n v="0.2"/>
    <n v="0.51200000000000001"/>
    <n v="12.4"/>
    <n v="0.21199999999999999"/>
  </r>
  <r>
    <x v="20"/>
    <n v="15.5"/>
    <n v="3.3"/>
    <n v="11.5"/>
    <n v="1"/>
    <n v="0.1"/>
    <n v="0.502"/>
    <n v="10.9"/>
    <n v="0.20300000000000001"/>
  </r>
  <r>
    <x v="21"/>
    <n v="24.2"/>
    <n v="13.9"/>
    <n v="5"/>
    <n v="1.5"/>
    <n v="2.2000000000000002"/>
    <n v="0.499"/>
    <n v="18.3"/>
    <n v="0.27200000000000002"/>
  </r>
  <r>
    <x v="22"/>
    <n v="23.3"/>
    <n v="12.9"/>
    <n v="3.9"/>
    <n v="0.7"/>
    <n v="2.9"/>
    <n v="0.51300000000000001"/>
    <n v="16.5"/>
    <n v="0.248"/>
  </r>
  <r>
    <x v="23"/>
    <n v="25.5"/>
    <n v="12.7"/>
    <n v="3.7"/>
    <n v="0.7"/>
    <n v="2.5"/>
    <n v="0.50800000000000001"/>
    <n v="17.8"/>
    <n v="0.25700000000000001"/>
  </r>
  <r>
    <x v="24"/>
    <n v="31.1"/>
    <n v="3.8"/>
    <n v="4.5999999999999996"/>
    <n v="2.5"/>
    <n v="0.3"/>
    <n v="0.42"/>
    <n v="11.8"/>
    <n v="0.19"/>
  </r>
  <r>
    <x v="25"/>
    <n v="29.7"/>
    <n v="13.6"/>
    <n v="3.8"/>
    <n v="0.5"/>
    <n v="3"/>
    <n v="0.57399999999999995"/>
    <n v="18.600000000000001"/>
    <n v="0.28299999999999997"/>
  </r>
  <r>
    <x v="26"/>
    <n v="23.8"/>
    <n v="9.4"/>
    <n v="4.0999999999999996"/>
    <n v="1.3"/>
    <n v="0.6"/>
    <n v="0.49299999999999999"/>
    <n v="9.6"/>
    <n v="0.252"/>
  </r>
  <r>
    <x v="27"/>
    <n v="28.7"/>
    <n v="5.8"/>
    <n v="3.5"/>
    <n v="1.7"/>
    <n v="0.5"/>
    <n v="0.46500000000000002"/>
    <n v="15.8"/>
    <n v="0.23799999999999999"/>
  </r>
  <r>
    <x v="28"/>
    <n v="27.4"/>
    <n v="9.9"/>
    <n v="4.5"/>
    <n v="1.4"/>
    <n v="0.6"/>
    <n v="0.55000000000000004"/>
    <n v="16.7"/>
    <n v="0.26800000000000002"/>
  </r>
  <r>
    <x v="29"/>
    <n v="30.4"/>
    <n v="6.6"/>
    <n v="4.3"/>
    <n v="2.2000000000000002"/>
    <n v="0.5"/>
    <n v="0.495"/>
    <n v="20.399999999999999"/>
    <n v="0.317"/>
  </r>
  <r>
    <x v="30"/>
    <n v="27.6"/>
    <n v="10.8"/>
    <n v="2.9"/>
    <n v="1.7"/>
    <n v="3.2"/>
    <n v="0.53"/>
    <n v="17.5"/>
    <n v="0.27300000000000002"/>
  </r>
  <r>
    <x v="31"/>
    <n v="27.3"/>
    <n v="11.9"/>
    <n v="3.6"/>
    <n v="1.6"/>
    <n v="3.7"/>
    <n v="0.52800000000000002"/>
    <n v="14.3"/>
    <n v="0.21"/>
  </r>
  <r>
    <x v="32"/>
    <n v="25.6"/>
    <n v="12.2"/>
    <n v="5.0999999999999996"/>
    <n v="1.6"/>
    <n v="1"/>
    <n v="0.52"/>
    <n v="14.4"/>
    <n v="0.24199999999999999"/>
  </r>
  <r>
    <x v="33"/>
    <n v="30.1"/>
    <n v="6.4"/>
    <n v="6.1"/>
    <n v="2.2999999999999998"/>
    <n v="0.9"/>
    <n v="0.51900000000000002"/>
    <n v="17.7"/>
    <n v="0.27400000000000002"/>
  </r>
  <r>
    <x v="34"/>
    <n v="31.5"/>
    <n v="6"/>
    <n v="5.5"/>
    <n v="2.7"/>
    <n v="1"/>
    <n v="0.53900000000000003"/>
    <n v="20.3"/>
    <n v="0.32100000000000001"/>
  </r>
  <r>
    <x v="35"/>
    <n v="22.3"/>
    <n v="6.6"/>
    <n v="11.5"/>
    <n v="1.7"/>
    <n v="0.4"/>
    <n v="0.48"/>
    <n v="16.5"/>
    <n v="0.27"/>
  </r>
  <r>
    <x v="36"/>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2024-25"/>
    <x v="0"/>
    <s v="Evan Mobley"/>
    <n v="23"/>
    <s v="CLE"/>
    <n v="71"/>
    <n v="30.5"/>
    <n v="30.5"/>
    <n v="9.3000000000000007"/>
    <n v="0.9"/>
    <n v="1.6"/>
    <n v="9"/>
    <n v="0.19949203417224659"/>
  </r>
  <r>
    <s v="2023-24"/>
    <x v="1"/>
    <s v="Rudy Gobert"/>
    <n v="31"/>
    <s v="MIN"/>
    <n v="76"/>
    <n v="34.1"/>
    <n v="34.1"/>
    <n v="12.9"/>
    <n v="0.7"/>
    <n v="2.1"/>
    <n v="11.6"/>
    <n v="0.21484797036579717"/>
  </r>
  <r>
    <s v="2022-23"/>
    <x v="2"/>
    <s v="Jaren Jackson Jr."/>
    <n v="23"/>
    <s v="MEM"/>
    <n v="63"/>
    <n v="28.4"/>
    <n v="28.4"/>
    <n v="6.8"/>
    <n v="1"/>
    <n v="3"/>
    <n v="6.6"/>
    <n v="0.17706237424547283"/>
  </r>
  <r>
    <s v="2021-22"/>
    <x v="3"/>
    <s v="Marcus Smart"/>
    <n v="27"/>
    <s v="BOS"/>
    <n v="71"/>
    <n v="32.299999999999997"/>
    <n v="32.299999999999997"/>
    <n v="3.8"/>
    <n v="1.7"/>
    <n v="0.3"/>
    <n v="5.6"/>
    <n v="0.11721100597392403"/>
  </r>
  <r>
    <s v="2020-21"/>
    <x v="4"/>
    <s v="Rudy Gobert"/>
    <n v="28"/>
    <s v="UTA"/>
    <n v="71"/>
    <n v="30.8"/>
    <n v="30.8"/>
    <n v="13.5"/>
    <n v="0.6"/>
    <n v="2.7"/>
    <n v="11.3"/>
    <n v="0.24803365648436074"/>
  </r>
  <r>
    <s v="2019-20"/>
    <x v="5"/>
    <s v="Giannis Antetokounmpo"/>
    <n v="25"/>
    <s v="MIL"/>
    <n v="63"/>
    <n v="30.4"/>
    <n v="30.4"/>
    <n v="13.6"/>
    <n v="1"/>
    <n v="1"/>
    <n v="11.1"/>
    <n v="0.2781954887218045"/>
  </r>
  <r>
    <s v="2018-19"/>
    <x v="6"/>
    <s v="Rudy Gobert"/>
    <n v="26"/>
    <s v="UTA"/>
    <n v="81"/>
    <n v="31.8"/>
    <n v="31.8"/>
    <n v="12.9"/>
    <n v="0.8"/>
    <n v="2.2999999999999998"/>
    <n v="14.4"/>
    <n v="0.26834381551362685"/>
  </r>
  <r>
    <s v="2017-18"/>
    <x v="7"/>
    <s v="Rudy Gobert"/>
    <n v="25"/>
    <s v="UTA"/>
    <n v="56"/>
    <n v="32.4"/>
    <n v="32.4"/>
    <n v="10.7"/>
    <n v="0.8"/>
    <n v="2.2999999999999998"/>
    <n v="8.1"/>
    <n v="0.21428571428571427"/>
  </r>
  <r>
    <s v="2016-17"/>
    <x v="8"/>
    <s v="Draymond Green"/>
    <n v="26"/>
    <s v="GSW"/>
    <n v="76"/>
    <n v="32.5"/>
    <n v="32.5"/>
    <n v="7.9"/>
    <n v="2"/>
    <n v="1.4"/>
    <n v="8.1999999999999993"/>
    <n v="0.15935222672064775"/>
  </r>
  <r>
    <s v="2015-16"/>
    <x v="9"/>
    <s v="Kawhi Leonard"/>
    <n v="24"/>
    <s v="SAS"/>
    <n v="72"/>
    <n v="33.1"/>
    <n v="33.1"/>
    <n v="6.8"/>
    <n v="1.8"/>
    <n v="1"/>
    <n v="13.7"/>
    <n v="0.27593152064451149"/>
  </r>
  <r>
    <s v="2014-15"/>
    <x v="10"/>
    <s v="Kawhi Leonard"/>
    <n v="23"/>
    <s v="SAS"/>
    <n v="64"/>
    <n v="31.8"/>
    <n v="31.8"/>
    <n v="7.2"/>
    <n v="2.2999999999999998"/>
    <n v="0.8"/>
    <n v="8.6"/>
    <n v="0.20283018867924527"/>
  </r>
  <r>
    <s v="2013-14"/>
    <x v="11"/>
    <s v="Joakim Noah"/>
    <n v="28"/>
    <s v="CHI"/>
    <n v="80"/>
    <n v="35.299999999999997"/>
    <n v="35.299999999999997"/>
    <n v="11.3"/>
    <n v="1.2"/>
    <n v="1.5"/>
    <n v="11.2"/>
    <n v="0.19036827195467418"/>
  </r>
  <r>
    <s v="2012-13"/>
    <x v="12"/>
    <s v="Marc Gasol"/>
    <n v="28"/>
    <s v="MEM"/>
    <n v="80"/>
    <n v="35"/>
    <n v="35"/>
    <n v="7.8"/>
    <n v="1"/>
    <n v="1.7"/>
    <n v="11.5"/>
    <n v="0.19714285714285715"/>
  </r>
  <r>
    <s v="2011-12"/>
    <x v="13"/>
    <s v="Tyson Chandler"/>
    <n v="29"/>
    <s v="NYK"/>
    <n v="62"/>
    <n v="33.200000000000003"/>
    <n v="33.200000000000003"/>
    <n v="9.9"/>
    <n v="0.9"/>
    <n v="1.4"/>
    <n v="9.5"/>
    <n v="0.22153128643606684"/>
  </r>
  <r>
    <s v="2010-11"/>
    <x v="14"/>
    <s v="Dwight Howard"/>
    <n v="25"/>
    <s v="ORL"/>
    <n v="78"/>
    <n v="37.6"/>
    <n v="37.6"/>
    <n v="14.1"/>
    <n v="1.4"/>
    <n v="2.4"/>
    <n v="14.4"/>
    <n v="0.23567921440261866"/>
  </r>
  <r>
    <s v="2009-10"/>
    <x v="15"/>
    <s v="Dwight Howard"/>
    <n v="24"/>
    <s v="ORL"/>
    <n v="82"/>
    <n v="34.700000000000003"/>
    <n v="34.700000000000003"/>
    <n v="13.2"/>
    <n v="0.9"/>
    <n v="2.8"/>
    <n v="13.2"/>
    <n v="0.22267519505166231"/>
  </r>
  <r>
    <s v="2008-09"/>
    <x v="16"/>
    <s v="Dwight Howard"/>
    <n v="23"/>
    <s v="ORL"/>
    <n v="79"/>
    <n v="35.700000000000003"/>
    <n v="35.700000000000003"/>
    <n v="13.8"/>
    <n v="1"/>
    <n v="2.9"/>
    <n v="13.8"/>
    <n v="0.23486863099670249"/>
  </r>
  <r>
    <s v="2007-08"/>
    <x v="17"/>
    <s v="Kevin Garnett"/>
    <n v="31"/>
    <s v="BOS"/>
    <n v="71"/>
    <n v="32.799999999999997"/>
    <n v="32.799999999999997"/>
    <n v="9.1999999999999993"/>
    <n v="1.4"/>
    <n v="1.3"/>
    <n v="12.9"/>
    <n v="0.26588801099278603"/>
  </r>
  <r>
    <s v="2006-07"/>
    <x v="18"/>
    <s v="Marcus Camby"/>
    <n v="32"/>
    <s v="DEN"/>
    <n v="70"/>
    <n v="33.799999999999997"/>
    <n v="33.799999999999997"/>
    <n v="11.7"/>
    <n v="1.2"/>
    <n v="3.3"/>
    <n v="7.6"/>
    <n v="0.15418427726120032"/>
  </r>
  <r>
    <s v="2005-06"/>
    <x v="19"/>
    <s v="Ben Wallace"/>
    <n v="31"/>
    <s v="DET"/>
    <n v="82"/>
    <n v="35.200000000000003"/>
    <n v="35.200000000000003"/>
    <n v="11.3"/>
    <n v="1.8"/>
    <n v="2.2000000000000002"/>
    <n v="10.1"/>
    <n v="0.16796008869179599"/>
  </r>
  <r>
    <s v="2004-05"/>
    <x v="20"/>
    <s v="Ben Wallace"/>
    <n v="30"/>
    <s v="DET"/>
    <n v="74"/>
    <n v="36.1"/>
    <n v="36.1"/>
    <n v="12.2"/>
    <n v="1.4"/>
    <n v="2.4"/>
    <n v="8.5"/>
    <n v="0.15272890619151006"/>
  </r>
  <r>
    <s v="2003-04"/>
    <x v="21"/>
    <s v="Metta World Peace"/>
    <n v="24"/>
    <s v="IND"/>
    <n v="73"/>
    <n v="37.200000000000003"/>
    <n v="37.200000000000003"/>
    <n v="5.3"/>
    <n v="2.1"/>
    <n v="0.7"/>
    <n v="8"/>
    <n v="0.14140521431727793"/>
  </r>
  <r>
    <s v="2002-03"/>
    <x v="22"/>
    <s v="Ben Wallace"/>
    <n v="28"/>
    <s v="DET"/>
    <n v="73"/>
    <n v="39.4"/>
    <n v="39.4"/>
    <n v="15.4"/>
    <n v="1.4"/>
    <n v="3.2"/>
    <n v="10.6"/>
    <n v="0.17690007648981293"/>
  </r>
  <r>
    <s v="2001-02"/>
    <x v="23"/>
    <s v="Ben Wallace"/>
    <n v="27"/>
    <s v="DET"/>
    <n v="80"/>
    <n v="36.5"/>
    <n v="36.5"/>
    <n v="13"/>
    <n v="1.7"/>
    <n v="3.5"/>
    <n v="11.6"/>
    <n v="0.19068493150684929"/>
  </r>
  <r>
    <s v="2000-01"/>
    <x v="24"/>
    <s v="Dikembe Mutombo"/>
    <n v="34"/>
    <s v="TOT"/>
    <n v="75"/>
    <n v="34.5"/>
    <n v="34.5"/>
    <n v="13.5"/>
    <n v="0.4"/>
    <n v="2.7"/>
    <n v="8.1"/>
    <n v="0.15026086956521736"/>
  </r>
  <r>
    <s v="1999-00"/>
    <x v="25"/>
    <s v="Alonzo Mourning"/>
    <n v="29"/>
    <s v="MIA"/>
    <n v="79"/>
    <n v="34.799999999999997"/>
    <n v="34.799999999999997"/>
    <n v="9.5"/>
    <n v="0.5"/>
    <n v="3.7"/>
    <n v="12.9"/>
    <n v="0.22522915757311221"/>
  </r>
  <r>
    <s v="1998-99"/>
    <x v="26"/>
    <s v="Alonzo Mourning"/>
    <n v="28"/>
    <s v="MIA"/>
    <n v="46"/>
    <n v="38.1"/>
    <n v="38.1"/>
    <n v="11"/>
    <n v="0.7"/>
    <n v="3.9"/>
    <n v="7.9"/>
    <n v="0.21636425881547416"/>
  </r>
  <r>
    <s v="1997-98"/>
    <x v="27"/>
    <s v="Dikembe Mutombo"/>
    <n v="31"/>
    <s v="ATL"/>
    <n v="82"/>
    <n v="35.6"/>
    <n v="35.6"/>
    <n v="11.4"/>
    <n v="0.4"/>
    <n v="3.4"/>
    <n v="10.8"/>
    <n v="0.17758289942449987"/>
  </r>
  <r>
    <s v="1996-97"/>
    <x v="28"/>
    <s v="Dikembe Mutombo"/>
    <n v="30"/>
    <s v="ATL"/>
    <n v="80"/>
    <n v="37.200000000000003"/>
    <n v="37.200000000000003"/>
    <n v="11.6"/>
    <n v="0.6"/>
    <n v="3.3"/>
    <n v="11.3"/>
    <n v="0.18225806451612905"/>
  </r>
  <r>
    <s v="1995-96"/>
    <x v="29"/>
    <s v="Gary Payton"/>
    <n v="27"/>
    <s v="SEA"/>
    <n v="81"/>
    <n v="39"/>
    <n v="39"/>
    <n v="4.2"/>
    <n v="2.9"/>
    <n v="0.2"/>
    <n v="11.5"/>
    <n v="0.17473884140550808"/>
  </r>
  <r>
    <s v="1994-95"/>
    <x v="30"/>
    <s v="Dikembe Mutombo"/>
    <n v="28"/>
    <s v="DEN"/>
    <n v="82"/>
    <n v="37.799999999999997"/>
    <n v="37.799999999999997"/>
    <n v="12.5"/>
    <n v="0.5"/>
    <n v="3.9"/>
    <n v="8.6999999999999993"/>
    <n v="0.13472706155632985"/>
  </r>
  <r>
    <s v="1993-94"/>
    <x v="31"/>
    <s v="Hakeem Olajuwon"/>
    <n v="31"/>
    <s v="HOU"/>
    <n v="80"/>
    <n v="41"/>
    <n v="41"/>
    <n v="11.9"/>
    <n v="1.6"/>
    <n v="3.7"/>
    <n v="14.3"/>
    <n v="0.20926829268292685"/>
  </r>
  <r>
    <s v="1992-93"/>
    <x v="32"/>
    <s v="Hakeem Olajuwon"/>
    <n v="30"/>
    <s v="HOU"/>
    <n v="82"/>
    <n v="39.5"/>
    <n v="39.5"/>
    <n v="13"/>
    <n v="1.8"/>
    <n v="4.2"/>
    <n v="15.8"/>
    <n v="0.23414634146341468"/>
  </r>
  <r>
    <s v="1991-92"/>
    <x v="33"/>
    <s v="David Robinson"/>
    <n v="26"/>
    <s v="SAS"/>
    <n v="68"/>
    <n v="37.700000000000003"/>
    <n v="37.700000000000003"/>
    <n v="12.2"/>
    <n v="2.2999999999999998"/>
    <n v="4.5"/>
    <n v="13.9"/>
    <n v="0.26025901076611013"/>
  </r>
  <r>
    <s v="1990-91"/>
    <x v="34"/>
    <s v="Dennis Rodman"/>
    <n v="29"/>
    <s v="DET"/>
    <n v="82"/>
    <n v="33.5"/>
    <n v="33.5"/>
    <n v="12.5"/>
    <n v="0.8"/>
    <n v="0.7"/>
    <n v="8.6999999999999993"/>
    <n v="0.15202038587550054"/>
  </r>
  <r>
    <s v="1989-90"/>
    <x v="35"/>
    <s v="Dennis Rodman"/>
    <n v="28"/>
    <s v="DET"/>
    <n v="82"/>
    <n v="29"/>
    <n v="29"/>
    <n v="9.6999999999999993"/>
    <n v="0.6"/>
    <n v="0.7"/>
    <n v="9.3000000000000007"/>
    <n v="0.1877207737594617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s v="2024-25"/>
    <x v="0"/>
    <s v="Stephon Castle"/>
    <n v="20"/>
    <s v="SAS"/>
    <n v="81"/>
    <n v="26.7"/>
    <n v="14.7"/>
    <n v="3.7"/>
    <n v="4.0999999999999996"/>
    <n v="0.9"/>
    <n v="0.3"/>
    <n v="1.1000000000000001"/>
    <n v="2.5000000000000001E-2"/>
  </r>
  <r>
    <s v="2023-24"/>
    <x v="1"/>
    <s v="Victor Wembanyama"/>
    <n v="20"/>
    <s v="SAS"/>
    <n v="71"/>
    <n v="29.7"/>
    <n v="21.4"/>
    <n v="10.6"/>
    <n v="3.9"/>
    <n v="1.2"/>
    <n v="3.6"/>
    <n v="3.7"/>
    <n v="8.5000000000000006E-2"/>
  </r>
  <r>
    <s v="2022-23"/>
    <x v="2"/>
    <s v="Paolo Banchero"/>
    <n v="20"/>
    <s v="ORL"/>
    <n v="72"/>
    <n v="33.799999999999997"/>
    <n v="20"/>
    <n v="6.9"/>
    <n v="3.7"/>
    <n v="0.8"/>
    <n v="0.5"/>
    <n v="2.4"/>
    <n v="4.7E-2"/>
  </r>
  <r>
    <s v="2021-22"/>
    <x v="3"/>
    <s v="Scottie Barnes"/>
    <n v="20"/>
    <s v="TOR"/>
    <n v="74"/>
    <n v="35.4"/>
    <n v="15.3"/>
    <n v="7.5"/>
    <n v="3.5"/>
    <n v="1.1000000000000001"/>
    <n v="0.7"/>
    <n v="6.6"/>
    <n v="0.122"/>
  </r>
  <r>
    <s v="2020-21"/>
    <x v="4"/>
    <s v="LaMelo Ball"/>
    <n v="19"/>
    <s v="CHO"/>
    <n v="51"/>
    <n v="28.8"/>
    <n v="15.7"/>
    <n v="5.9"/>
    <n v="6.1"/>
    <n v="1.6"/>
    <n v="0.4"/>
    <n v="2.8"/>
    <n v="9.2999999999999999E-2"/>
  </r>
  <r>
    <s v="2019-20"/>
    <x v="5"/>
    <s v="Ja Morant"/>
    <n v="20"/>
    <s v="MEM"/>
    <n v="67"/>
    <n v="31"/>
    <n v="17.8"/>
    <n v="3.9"/>
    <n v="7.3"/>
    <n v="0.9"/>
    <n v="0.3"/>
    <n v="3.8"/>
    <n v="8.7999999999999995E-2"/>
  </r>
  <r>
    <s v="2018-19"/>
    <x v="6"/>
    <s v="Luka Dončić"/>
    <n v="19"/>
    <s v="DAL"/>
    <n v="72"/>
    <n v="32.200000000000003"/>
    <n v="21.2"/>
    <n v="7.8"/>
    <n v="6"/>
    <n v="1.1000000000000001"/>
    <n v="0.3"/>
    <n v="4.9000000000000004"/>
    <n v="0.10100000000000001"/>
  </r>
  <r>
    <s v="2017-18"/>
    <x v="7"/>
    <s v="Ben Simmons"/>
    <n v="21"/>
    <s v="PHI"/>
    <n v="81"/>
    <n v="33.700000000000003"/>
    <n v="15.8"/>
    <n v="8.1"/>
    <n v="8.1999999999999993"/>
    <n v="1.7"/>
    <n v="0.9"/>
    <n v="9.1999999999999993"/>
    <n v="0.16200000000000001"/>
  </r>
  <r>
    <s v="2016-17"/>
    <x v="8"/>
    <s v="Malcolm Brogdon"/>
    <n v="24"/>
    <s v="MIL"/>
    <n v="75"/>
    <n v="26.4"/>
    <n v="10.199999999999999"/>
    <n v="2.8"/>
    <n v="4.2"/>
    <n v="1.1000000000000001"/>
    <n v="0.2"/>
    <n v="4.0999999999999996"/>
    <n v="0.1"/>
  </r>
  <r>
    <s v="2015-16"/>
    <x v="9"/>
    <s v="Karl-Anthony Towns"/>
    <n v="20"/>
    <s v="MIN"/>
    <n v="82"/>
    <n v="32"/>
    <n v="18.3"/>
    <n v="10.5"/>
    <n v="2"/>
    <n v="0.7"/>
    <n v="1.7"/>
    <n v="8.3000000000000007"/>
    <n v="0.151"/>
  </r>
  <r>
    <s v="2014-15"/>
    <x v="10"/>
    <s v="Andrew Wiggins"/>
    <n v="19"/>
    <s v="MIN"/>
    <n v="82"/>
    <n v="36.200000000000003"/>
    <n v="16.899999999999999"/>
    <n v="4.5999999999999996"/>
    <n v="2.1"/>
    <n v="1"/>
    <n v="0.6"/>
    <n v="2.1"/>
    <n v="3.4000000000000002E-2"/>
  </r>
  <r>
    <s v="2013-14"/>
    <x v="11"/>
    <s v="Michael Carter-Williams"/>
    <n v="22"/>
    <s v="PHI"/>
    <n v="70"/>
    <n v="34.5"/>
    <n v="16.7"/>
    <n v="6.2"/>
    <n v="6.3"/>
    <n v="1.9"/>
    <n v="0.6"/>
    <n v="1.3"/>
    <n v="2.5999999999999999E-2"/>
  </r>
  <r>
    <s v="2012-13"/>
    <x v="12"/>
    <s v="Damian Lillard"/>
    <n v="22"/>
    <s v="POR"/>
    <n v="82"/>
    <n v="38.6"/>
    <n v="19"/>
    <n v="3.1"/>
    <n v="6.5"/>
    <n v="0.9"/>
    <n v="0.2"/>
    <n v="5.8"/>
    <n v="8.7999999999999995E-2"/>
  </r>
  <r>
    <s v="2011-12"/>
    <x v="13"/>
    <s v="Kyrie Irving"/>
    <n v="19"/>
    <s v="CLE"/>
    <n v="51"/>
    <n v="30.5"/>
    <n v="18.5"/>
    <n v="3.7"/>
    <n v="5.4"/>
    <n v="1.1000000000000001"/>
    <n v="0.4"/>
    <n v="4.0999999999999996"/>
    <n v="0.125"/>
  </r>
  <r>
    <s v="2010-11"/>
    <x v="14"/>
    <s v="Blake Griffin"/>
    <n v="21"/>
    <s v="LAC"/>
    <n v="82"/>
    <n v="38"/>
    <n v="22.5"/>
    <n v="12.1"/>
    <n v="3.8"/>
    <n v="0.8"/>
    <n v="0.5"/>
    <n v="9.8000000000000007"/>
    <n v="0.152"/>
  </r>
  <r>
    <s v="2009-10"/>
    <x v="15"/>
    <s v="Tyreke Evans"/>
    <n v="20"/>
    <s v="SAC"/>
    <n v="72"/>
    <n v="37.200000000000003"/>
    <n v="20.100000000000001"/>
    <n v="5.3"/>
    <n v="5.8"/>
    <n v="1.5"/>
    <n v="0.4"/>
    <n v="5.4"/>
    <n v="9.7000000000000003E-2"/>
  </r>
  <r>
    <s v="2008-09"/>
    <x v="16"/>
    <s v="Derrick Rose"/>
    <n v="20"/>
    <s v="CHI"/>
    <n v="81"/>
    <n v="37"/>
    <n v="16.8"/>
    <n v="3.9"/>
    <n v="6.3"/>
    <n v="0.8"/>
    <n v="0.2"/>
    <n v="4.9000000000000004"/>
    <n v="7.8E-2"/>
  </r>
  <r>
    <s v="2007-08"/>
    <x v="17"/>
    <s v="Kevin Durant"/>
    <n v="19"/>
    <s v="SEA"/>
    <n v="80"/>
    <n v="34.6"/>
    <n v="20.3"/>
    <n v="4.4000000000000004"/>
    <n v="2.4"/>
    <n v="1"/>
    <n v="0.9"/>
    <n v="2.2999999999999998"/>
    <n v="0.04"/>
  </r>
  <r>
    <s v="2006-07"/>
    <x v="18"/>
    <s v="Brandon Roy"/>
    <n v="22"/>
    <s v="POR"/>
    <n v="57"/>
    <n v="35.4"/>
    <n v="16.8"/>
    <n v="4.4000000000000004"/>
    <n v="4"/>
    <n v="1.2"/>
    <n v="0.2"/>
    <n v="4.8"/>
    <n v="0.114"/>
  </r>
  <r>
    <s v="2005-06"/>
    <x v="19"/>
    <s v="Chris Paul"/>
    <n v="20"/>
    <s v="NOK"/>
    <n v="78"/>
    <n v="36"/>
    <n v="16.100000000000001"/>
    <n v="5.0999999999999996"/>
    <n v="7.8"/>
    <n v="2.2000000000000002"/>
    <n v="0.1"/>
    <n v="10.4"/>
    <n v="0.17799999999999999"/>
  </r>
  <r>
    <s v="2004-05"/>
    <x v="20"/>
    <s v="Emeka Okafor"/>
    <n v="22"/>
    <s v="CHA"/>
    <n v="73"/>
    <n v="35.6"/>
    <n v="15.1"/>
    <n v="10.9"/>
    <n v="0.9"/>
    <n v="0.8"/>
    <n v="1.7"/>
    <n v="4"/>
    <n v="7.3999999999999996E-2"/>
  </r>
  <r>
    <s v="2003-04"/>
    <x v="21"/>
    <s v="LeBron James"/>
    <n v="19"/>
    <s v="CLE"/>
    <n v="79"/>
    <n v="39.5"/>
    <n v="20.9"/>
    <n v="5.5"/>
    <n v="5.9"/>
    <n v="1.6"/>
    <n v="0.7"/>
    <n v="5.0999999999999996"/>
    <n v="7.8E-2"/>
  </r>
  <r>
    <s v="2002-03"/>
    <x v="22"/>
    <s v="Amar'e Stoudemire"/>
    <n v="20"/>
    <s v="PHO"/>
    <n v="82"/>
    <n v="31.3"/>
    <n v="13.5"/>
    <n v="8.8000000000000007"/>
    <n v="1"/>
    <n v="0.8"/>
    <n v="1.1000000000000001"/>
    <n v="6.2"/>
    <n v="0.11600000000000001"/>
  </r>
  <r>
    <s v="2001-02"/>
    <x v="23"/>
    <s v="Pau Gasol"/>
    <n v="21"/>
    <s v="MEM"/>
    <n v="82"/>
    <n v="36.700000000000003"/>
    <n v="17.600000000000001"/>
    <n v="8.9"/>
    <n v="2.7"/>
    <n v="0.5"/>
    <n v="2.1"/>
    <n v="7.6"/>
    <n v="0.121"/>
  </r>
  <r>
    <s v="2000-01"/>
    <x v="24"/>
    <s v="Mike Miller"/>
    <n v="20"/>
    <s v="ORL"/>
    <n v="82"/>
    <n v="29.1"/>
    <n v="11.9"/>
    <n v="4"/>
    <n v="1.7"/>
    <n v="0.6"/>
    <n v="0.2"/>
    <n v="5.3"/>
    <n v="0.106"/>
  </r>
  <r>
    <s v="1999-00"/>
    <x v="25"/>
    <s v="Steve Francis"/>
    <n v="22"/>
    <s v="HOU"/>
    <n v="77"/>
    <n v="36.1"/>
    <n v="18"/>
    <n v="5.3"/>
    <n v="6.6"/>
    <n v="1.5"/>
    <n v="0.4"/>
    <n v="6.4"/>
    <n v="0.111"/>
  </r>
  <r>
    <s v="1999-00"/>
    <x v="25"/>
    <s v="Elton Brand"/>
    <n v="20"/>
    <s v="CHI"/>
    <n v="81"/>
    <n v="37"/>
    <n v="20.100000000000001"/>
    <n v="10"/>
    <n v="1.9"/>
    <n v="0.8"/>
    <n v="1.6"/>
    <n v="7.5"/>
    <n v="0.121"/>
  </r>
  <r>
    <s v="1998-99"/>
    <x v="26"/>
    <s v="Vince Carter"/>
    <n v="22"/>
    <s v="TOR"/>
    <n v="50"/>
    <n v="35.200000000000003"/>
    <n v="18.3"/>
    <n v="5.7"/>
    <n v="3"/>
    <n v="1.1000000000000001"/>
    <n v="1.5"/>
    <n v="5"/>
    <n v="0.13600000000000001"/>
  </r>
  <r>
    <s v="1997-98"/>
    <x v="27"/>
    <s v="Tim Duncan"/>
    <n v="21"/>
    <s v="SAS"/>
    <n v="82"/>
    <n v="39.1"/>
    <n v="21.1"/>
    <n v="11.9"/>
    <n v="2.7"/>
    <n v="0.7"/>
    <n v="2.5"/>
    <n v="12.8"/>
    <n v="0.192"/>
  </r>
  <r>
    <s v="1996-97"/>
    <x v="28"/>
    <s v="Allen Iverson"/>
    <n v="21"/>
    <s v="PHI"/>
    <n v="76"/>
    <n v="40.1"/>
    <n v="23.5"/>
    <n v="4.0999999999999996"/>
    <n v="7.5"/>
    <n v="2.1"/>
    <n v="0.3"/>
    <n v="4.0999999999999996"/>
    <n v="6.5000000000000002E-2"/>
  </r>
  <r>
    <s v="1995-96"/>
    <x v="29"/>
    <s v="Damon Stoudamire"/>
    <n v="22"/>
    <s v="TOR"/>
    <n v="70"/>
    <n v="40.9"/>
    <n v="19"/>
    <n v="4"/>
    <n v="9.3000000000000007"/>
    <n v="1.4"/>
    <n v="0.3"/>
    <n v="4.3"/>
    <n v="7.1999999999999995E-2"/>
  </r>
  <r>
    <s v="1994-95"/>
    <x v="30"/>
    <s v="Jason Kidd"/>
    <n v="21"/>
    <s v="DAL"/>
    <n v="79"/>
    <n v="33.799999999999997"/>
    <n v="11.7"/>
    <n v="5.4"/>
    <n v="7.7"/>
    <n v="1.9"/>
    <n v="0.3"/>
    <n v="3.7"/>
    <n v="6.6000000000000003E-2"/>
  </r>
  <r>
    <s v="1994-95"/>
    <x v="30"/>
    <s v="Grant Hill"/>
    <n v="22"/>
    <s v="DET"/>
    <n v="70"/>
    <n v="38.299999999999997"/>
    <n v="19.899999999999999"/>
    <n v="6.4"/>
    <n v="5"/>
    <n v="1.8"/>
    <n v="0.9"/>
    <n v="5.4"/>
    <n v="9.7000000000000003E-2"/>
  </r>
  <r>
    <s v="1993-94"/>
    <x v="31"/>
    <s v="Chris Webber"/>
    <n v="20"/>
    <s v="GSW"/>
    <n v="76"/>
    <n v="32.1"/>
    <n v="17.5"/>
    <n v="9.1"/>
    <n v="3.6"/>
    <n v="1.2"/>
    <n v="2.2000000000000002"/>
    <n v="7.8"/>
    <n v="0.154"/>
  </r>
  <r>
    <s v="1992-93"/>
    <x v="32"/>
    <s v="Shaquille O'Neal"/>
    <n v="20"/>
    <s v="ORL"/>
    <n v="81"/>
    <n v="37.9"/>
    <n v="23.4"/>
    <n v="13.9"/>
    <n v="1.9"/>
    <n v="0.7"/>
    <n v="3.5"/>
    <n v="10.4"/>
    <n v="0.16300000000000001"/>
  </r>
  <r>
    <s v="1991-92"/>
    <x v="33"/>
    <s v="Larry Johnson"/>
    <n v="22"/>
    <s v="CHH"/>
    <n v="82"/>
    <n v="37.200000000000003"/>
    <n v="19.2"/>
    <n v="11"/>
    <n v="3.6"/>
    <n v="1"/>
    <n v="0.6"/>
    <n v="8.9"/>
    <n v="0.14000000000000001"/>
  </r>
  <r>
    <s v="1990-91"/>
    <x v="34"/>
    <s v="Derrick Coleman"/>
    <n v="23"/>
    <s v="NJN"/>
    <n v="74"/>
    <n v="35.200000000000003"/>
    <n v="18.399999999999999"/>
    <n v="10.3"/>
    <n v="2.2000000000000002"/>
    <n v="1"/>
    <n v="1.3"/>
    <n v="5.8"/>
    <n v="0.108"/>
  </r>
  <r>
    <s v="1989-90"/>
    <x v="35"/>
    <s v="David Robinson"/>
    <n v="24"/>
    <s v="SAS"/>
    <n v="82"/>
    <n v="36.6"/>
    <n v="24.3"/>
    <n v="12"/>
    <n v="2"/>
    <n v="1.7"/>
    <n v="3.9"/>
    <n v="15.1"/>
    <n v="0.24099999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s v="2024-25"/>
    <x v="0"/>
    <s v="Evan Mobley"/>
    <n v="23"/>
    <s v="CLE"/>
    <n v="71"/>
    <n v="30.5"/>
    <n v="30.5"/>
    <n v="9.3000000000000007"/>
    <n v="0.9"/>
    <n v="1.6"/>
    <n v="9"/>
    <n v="0.19949203417224659"/>
  </r>
  <r>
    <s v="2023-24"/>
    <x v="1"/>
    <s v="Rudy Gobert"/>
    <n v="31"/>
    <s v="MIN"/>
    <n v="76"/>
    <n v="34.1"/>
    <n v="34.1"/>
    <n v="12.9"/>
    <n v="0.7"/>
    <n v="2.1"/>
    <n v="11.6"/>
    <n v="0.21484797036579717"/>
  </r>
  <r>
    <s v="2022-23"/>
    <x v="2"/>
    <s v="Jaren Jackson Jr."/>
    <n v="23"/>
    <s v="MEM"/>
    <n v="63"/>
    <n v="28.4"/>
    <n v="28.4"/>
    <n v="6.8"/>
    <n v="1"/>
    <n v="3"/>
    <n v="6.6"/>
    <n v="0.17706237424547283"/>
  </r>
  <r>
    <s v="2021-22"/>
    <x v="3"/>
    <s v="Marcus Smart"/>
    <n v="27"/>
    <s v="BOS"/>
    <n v="71"/>
    <n v="32.299999999999997"/>
    <n v="32.299999999999997"/>
    <n v="3.8"/>
    <n v="1.7"/>
    <n v="0.3"/>
    <n v="5.6"/>
    <n v="0.11721100597392403"/>
  </r>
  <r>
    <s v="2020-21"/>
    <x v="4"/>
    <s v="Rudy Gobert"/>
    <n v="28"/>
    <s v="UTA"/>
    <n v="71"/>
    <n v="30.8"/>
    <n v="30.8"/>
    <n v="13.5"/>
    <n v="0.6"/>
    <n v="2.7"/>
    <n v="11.3"/>
    <n v="0.24803365648436074"/>
  </r>
  <r>
    <s v="2019-20"/>
    <x v="5"/>
    <s v="Giannis Antetokounmpo"/>
    <n v="25"/>
    <s v="MIL"/>
    <n v="63"/>
    <n v="30.4"/>
    <n v="30.4"/>
    <n v="13.6"/>
    <n v="1"/>
    <n v="1"/>
    <n v="11.1"/>
    <n v="0.2781954887218045"/>
  </r>
  <r>
    <s v="2018-19"/>
    <x v="6"/>
    <s v="Rudy Gobert"/>
    <n v="26"/>
    <s v="UTA"/>
    <n v="81"/>
    <n v="31.8"/>
    <n v="31.8"/>
    <n v="12.9"/>
    <n v="0.8"/>
    <n v="2.2999999999999998"/>
    <n v="14.4"/>
    <n v="0.26834381551362685"/>
  </r>
  <r>
    <s v="2017-18"/>
    <x v="7"/>
    <s v="Rudy Gobert"/>
    <n v="25"/>
    <s v="UTA"/>
    <n v="56"/>
    <n v="32.4"/>
    <n v="32.4"/>
    <n v="10.7"/>
    <n v="0.8"/>
    <n v="2.2999999999999998"/>
    <n v="8.1"/>
    <n v="0.21428571428571427"/>
  </r>
  <r>
    <s v="2016-17"/>
    <x v="8"/>
    <s v="Draymond Green"/>
    <n v="26"/>
    <s v="GSW"/>
    <n v="76"/>
    <n v="32.5"/>
    <n v="32.5"/>
    <n v="7.9"/>
    <n v="2"/>
    <n v="1.4"/>
    <n v="8.1999999999999993"/>
    <n v="0.15935222672064775"/>
  </r>
  <r>
    <s v="2015-16"/>
    <x v="9"/>
    <s v="Kawhi Leonard"/>
    <n v="24"/>
    <s v="SAS"/>
    <n v="72"/>
    <n v="33.1"/>
    <n v="33.1"/>
    <n v="6.8"/>
    <n v="1.8"/>
    <n v="1"/>
    <n v="13.7"/>
    <n v="0.27593152064451149"/>
  </r>
  <r>
    <s v="2014-15"/>
    <x v="10"/>
    <s v="Kawhi Leonard"/>
    <n v="23"/>
    <s v="SAS"/>
    <n v="64"/>
    <n v="31.8"/>
    <n v="31.8"/>
    <n v="7.2"/>
    <n v="2.2999999999999998"/>
    <n v="0.8"/>
    <n v="8.6"/>
    <n v="0.20283018867924527"/>
  </r>
  <r>
    <s v="2013-14"/>
    <x v="11"/>
    <s v="Joakim Noah"/>
    <n v="28"/>
    <s v="CHI"/>
    <n v="80"/>
    <n v="35.299999999999997"/>
    <n v="35.299999999999997"/>
    <n v="11.3"/>
    <n v="1.2"/>
    <n v="1.5"/>
    <n v="11.2"/>
    <n v="0.19036827195467418"/>
  </r>
  <r>
    <s v="2012-13"/>
    <x v="12"/>
    <s v="Marc Gasol"/>
    <n v="28"/>
    <s v="MEM"/>
    <n v="80"/>
    <n v="35"/>
    <n v="35"/>
    <n v="7.8"/>
    <n v="1"/>
    <n v="1.7"/>
    <n v="11.5"/>
    <n v="0.19714285714285715"/>
  </r>
  <r>
    <s v="2011-12"/>
    <x v="13"/>
    <s v="Tyson Chandler"/>
    <n v="29"/>
    <s v="NYK"/>
    <n v="62"/>
    <n v="33.200000000000003"/>
    <n v="33.200000000000003"/>
    <n v="9.9"/>
    <n v="0.9"/>
    <n v="1.4"/>
    <n v="9.5"/>
    <n v="0.22153128643606684"/>
  </r>
  <r>
    <s v="2010-11"/>
    <x v="14"/>
    <s v="Dwight Howard"/>
    <n v="25"/>
    <s v="ORL"/>
    <n v="78"/>
    <n v="37.6"/>
    <n v="37.6"/>
    <n v="14.1"/>
    <n v="1.4"/>
    <n v="2.4"/>
    <n v="14.4"/>
    <n v="0.23567921440261866"/>
  </r>
  <r>
    <s v="2009-10"/>
    <x v="15"/>
    <s v="Dwight Howard"/>
    <n v="24"/>
    <s v="ORL"/>
    <n v="82"/>
    <n v="34.700000000000003"/>
    <n v="34.700000000000003"/>
    <n v="13.2"/>
    <n v="0.9"/>
    <n v="2.8"/>
    <n v="13.2"/>
    <n v="0.22267519505166231"/>
  </r>
  <r>
    <s v="2008-09"/>
    <x v="16"/>
    <s v="Dwight Howard"/>
    <n v="23"/>
    <s v="ORL"/>
    <n v="79"/>
    <n v="35.700000000000003"/>
    <n v="35.700000000000003"/>
    <n v="13.8"/>
    <n v="1"/>
    <n v="2.9"/>
    <n v="13.8"/>
    <n v="0.23486863099670249"/>
  </r>
  <r>
    <s v="2007-08"/>
    <x v="17"/>
    <s v="Kevin Garnett"/>
    <n v="31"/>
    <s v="BOS"/>
    <n v="71"/>
    <n v="32.799999999999997"/>
    <n v="32.799999999999997"/>
    <n v="9.1999999999999993"/>
    <n v="1.4"/>
    <n v="1.3"/>
    <n v="12.9"/>
    <n v="0.26588801099278603"/>
  </r>
  <r>
    <s v="2006-07"/>
    <x v="18"/>
    <s v="Marcus Camby"/>
    <n v="32"/>
    <s v="DEN"/>
    <n v="70"/>
    <n v="33.799999999999997"/>
    <n v="33.799999999999997"/>
    <n v="11.7"/>
    <n v="1.2"/>
    <n v="3.3"/>
    <n v="7.6"/>
    <n v="0.15418427726120032"/>
  </r>
  <r>
    <s v="2005-06"/>
    <x v="19"/>
    <s v="Ben Wallace"/>
    <n v="31"/>
    <s v="DET"/>
    <n v="82"/>
    <n v="35.200000000000003"/>
    <n v="35.200000000000003"/>
    <n v="11.3"/>
    <n v="1.8"/>
    <n v="2.2000000000000002"/>
    <n v="10.1"/>
    <n v="0.16796008869179599"/>
  </r>
  <r>
    <s v="2004-05"/>
    <x v="20"/>
    <s v="Ben Wallace"/>
    <n v="30"/>
    <s v="DET"/>
    <n v="74"/>
    <n v="36.1"/>
    <n v="36.1"/>
    <n v="12.2"/>
    <n v="1.4"/>
    <n v="2.4"/>
    <n v="8.5"/>
    <n v="0.15272890619151006"/>
  </r>
  <r>
    <s v="2003-04"/>
    <x v="21"/>
    <s v="Metta World Peace"/>
    <n v="24"/>
    <s v="IND"/>
    <n v="73"/>
    <n v="37.200000000000003"/>
    <n v="37.200000000000003"/>
    <n v="5.3"/>
    <n v="2.1"/>
    <n v="0.7"/>
    <n v="8"/>
    <n v="0.14140521431727793"/>
  </r>
  <r>
    <s v="2002-03"/>
    <x v="22"/>
    <s v="Ben Wallace"/>
    <n v="28"/>
    <s v="DET"/>
    <n v="73"/>
    <n v="39.4"/>
    <n v="39.4"/>
    <n v="15.4"/>
    <n v="1.4"/>
    <n v="3.2"/>
    <n v="10.6"/>
    <n v="0.17690007648981293"/>
  </r>
  <r>
    <s v="2001-02"/>
    <x v="23"/>
    <s v="Ben Wallace"/>
    <n v="27"/>
    <s v="DET"/>
    <n v="80"/>
    <n v="36.5"/>
    <n v="36.5"/>
    <n v="13"/>
    <n v="1.7"/>
    <n v="3.5"/>
    <n v="11.6"/>
    <n v="0.19068493150684929"/>
  </r>
  <r>
    <s v="2000-01"/>
    <x v="24"/>
    <s v="Dikembe Mutombo"/>
    <n v="34"/>
    <s v="TOT"/>
    <n v="75"/>
    <n v="34.5"/>
    <n v="34.5"/>
    <n v="13.5"/>
    <n v="0.4"/>
    <n v="2.7"/>
    <n v="8.1"/>
    <n v="0.15026086956521736"/>
  </r>
  <r>
    <s v="1999-00"/>
    <x v="25"/>
    <s v="Alonzo Mourning"/>
    <n v="29"/>
    <s v="MIA"/>
    <n v="79"/>
    <n v="34.799999999999997"/>
    <n v="34.799999999999997"/>
    <n v="9.5"/>
    <n v="0.5"/>
    <n v="3.7"/>
    <n v="12.9"/>
    <n v="0.22522915757311221"/>
  </r>
  <r>
    <s v="1998-99"/>
    <x v="26"/>
    <s v="Alonzo Mourning"/>
    <n v="28"/>
    <s v="MIA"/>
    <n v="46"/>
    <n v="38.1"/>
    <n v="38.1"/>
    <n v="11"/>
    <n v="0.7"/>
    <n v="3.9"/>
    <n v="7.9"/>
    <n v="0.21636425881547416"/>
  </r>
  <r>
    <s v="1997-98"/>
    <x v="27"/>
    <s v="Dikembe Mutombo"/>
    <n v="31"/>
    <s v="ATL"/>
    <n v="82"/>
    <n v="35.6"/>
    <n v="35.6"/>
    <n v="11.4"/>
    <n v="0.4"/>
    <n v="3.4"/>
    <n v="10.8"/>
    <n v="0.17758289942449987"/>
  </r>
  <r>
    <s v="1996-97"/>
    <x v="28"/>
    <s v="Dikembe Mutombo"/>
    <n v="30"/>
    <s v="ATL"/>
    <n v="80"/>
    <n v="37.200000000000003"/>
    <n v="37.200000000000003"/>
    <n v="11.6"/>
    <n v="0.6"/>
    <n v="3.3"/>
    <n v="11.3"/>
    <n v="0.18225806451612905"/>
  </r>
  <r>
    <s v="1995-96"/>
    <x v="29"/>
    <s v="Gary Payton"/>
    <n v="27"/>
    <s v="SEA"/>
    <n v="81"/>
    <n v="39"/>
    <n v="39"/>
    <n v="4.2"/>
    <n v="2.9"/>
    <n v="0.2"/>
    <n v="11.5"/>
    <n v="0.17473884140550808"/>
  </r>
  <r>
    <s v="1994-95"/>
    <x v="30"/>
    <s v="Dikembe Mutombo"/>
    <n v="28"/>
    <s v="DEN"/>
    <n v="82"/>
    <n v="37.799999999999997"/>
    <n v="37.799999999999997"/>
    <n v="12.5"/>
    <n v="0.5"/>
    <n v="3.9"/>
    <n v="8.6999999999999993"/>
    <n v="0.13472706155632985"/>
  </r>
  <r>
    <s v="1993-94"/>
    <x v="31"/>
    <s v="Hakeem Olajuwon"/>
    <n v="31"/>
    <s v="HOU"/>
    <n v="80"/>
    <n v="41"/>
    <n v="41"/>
    <n v="11.9"/>
    <n v="1.6"/>
    <n v="3.7"/>
    <n v="14.3"/>
    <n v="0.20926829268292685"/>
  </r>
  <r>
    <s v="1992-93"/>
    <x v="32"/>
    <s v="Hakeem Olajuwon"/>
    <n v="30"/>
    <s v="HOU"/>
    <n v="82"/>
    <n v="39.5"/>
    <n v="39.5"/>
    <n v="13"/>
    <n v="1.8"/>
    <n v="4.2"/>
    <n v="15.8"/>
    <n v="0.23414634146341468"/>
  </r>
  <r>
    <s v="1991-92"/>
    <x v="33"/>
    <s v="David Robinson"/>
    <n v="26"/>
    <s v="SAS"/>
    <n v="68"/>
    <n v="37.700000000000003"/>
    <n v="37.700000000000003"/>
    <n v="12.2"/>
    <n v="2.2999999999999998"/>
    <n v="4.5"/>
    <n v="13.9"/>
    <n v="0.26025901076611013"/>
  </r>
  <r>
    <s v="1990-91"/>
    <x v="34"/>
    <s v="Dennis Rodman"/>
    <n v="29"/>
    <s v="DET"/>
    <n v="82"/>
    <n v="33.5"/>
    <n v="33.5"/>
    <n v="12.5"/>
    <n v="0.8"/>
    <n v="0.7"/>
    <n v="8.6999999999999993"/>
    <n v="0.15202038587550054"/>
  </r>
  <r>
    <s v="1989-90"/>
    <x v="35"/>
    <s v="Dennis Rodman"/>
    <n v="28"/>
    <s v="DET"/>
    <n v="82"/>
    <n v="29"/>
    <n v="29"/>
    <n v="9.6999999999999993"/>
    <n v="0.6"/>
    <n v="0.7"/>
    <n v="9.3000000000000007"/>
    <n v="0.18772077375946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2153A-7FD2-4196-A7FE-3CC8AFA1F1A4}" name="Tabela dinâmica3" cacheId="8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G8" firstHeaderRow="0" firstDataRow="1" firstDataCol="1"/>
  <pivotFields count="9">
    <pivotField axis="axisRow" numFmtId="1" showAll="0">
      <items count="7">
        <item x="0"/>
        <item x="1"/>
        <item x="2"/>
        <item x="3"/>
        <item x="4"/>
        <item x="5"/>
        <item t="default"/>
      </items>
    </pivotField>
    <pivotField dataField="1" showAll="0"/>
    <pivotField dataField="1" showAll="0"/>
    <pivotField dataField="1" showAll="0"/>
    <pivotField showAll="0"/>
    <pivotField showAll="0"/>
    <pivotField dataField="1" showAll="0"/>
    <pivotField dataField="1" showAll="0"/>
    <pivotField dataField="1" showAll="0"/>
  </pivotFields>
  <rowFields count="1">
    <field x="0"/>
  </rowFields>
  <rowItems count="5">
    <i>
      <x v="1"/>
    </i>
    <i>
      <x v="2"/>
    </i>
    <i>
      <x v="3"/>
    </i>
    <i>
      <x v="4"/>
    </i>
    <i t="grand">
      <x/>
    </i>
  </rowItems>
  <colFields count="1">
    <field x="-2"/>
  </colFields>
  <colItems count="6">
    <i>
      <x/>
    </i>
    <i i="1">
      <x v="1"/>
    </i>
    <i i="2">
      <x v="2"/>
    </i>
    <i i="3">
      <x v="3"/>
    </i>
    <i i="4">
      <x v="4"/>
    </i>
    <i i="5">
      <x v="5"/>
    </i>
  </colItems>
  <dataFields count="6">
    <dataField name="Média de PTS" fld="1" subtotal="average" baseField="0" baseItem="1"/>
    <dataField name="Média de TRB" fld="2" subtotal="average" baseField="0" baseItem="1"/>
    <dataField name="Média de AST" fld="3" subtotal="average" baseField="0" baseItem="1"/>
    <dataField name="Média de FG%" fld="6" subtotal="average" baseField="0" baseItem="1"/>
    <dataField name="Média de WS" fld="7" subtotal="average" baseField="0" baseItem="1"/>
    <dataField name="Média de WS/48" fld="8"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4EDCF-F047-4DEA-95EC-3F42625A0A0D}" name="Tabela dinâmica12" cacheId="9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F6" firstHeaderRow="0" firstDataRow="1" firstDataCol="1"/>
  <pivotFields count="13">
    <pivotField showAll="0"/>
    <pivotField axis="axisRow" numFmtId="1" showAll="0">
      <items count="7">
        <item x="0"/>
        <item x="1"/>
        <item x="2"/>
        <item x="3"/>
        <item x="4"/>
        <item x="5"/>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dataField="1" numFmtId="2" showAll="0"/>
  </pivotFields>
  <rowFields count="1">
    <field x="1"/>
  </rowFields>
  <rowItems count="5">
    <i>
      <x v="1"/>
    </i>
    <i>
      <x v="2"/>
    </i>
    <i>
      <x v="3"/>
    </i>
    <i>
      <x v="4"/>
    </i>
    <i t="grand">
      <x/>
    </i>
  </rowItems>
  <colFields count="1">
    <field x="-2"/>
  </colFields>
  <colItems count="5">
    <i>
      <x/>
    </i>
    <i i="1">
      <x v="1"/>
    </i>
    <i i="2">
      <x v="2"/>
    </i>
    <i i="3">
      <x v="3"/>
    </i>
    <i i="4">
      <x v="4"/>
    </i>
  </colItems>
  <dataFields count="5">
    <dataField name="Média de TRB" fld="8" subtotal="average" baseField="1" baseItem="0"/>
    <dataField name="Média de STL" fld="9" subtotal="average" baseField="1" baseItem="0"/>
    <dataField name="Média de BLK" fld="10" subtotal="average" baseField="1" baseItem="0"/>
    <dataField name="Média de WS" fld="11" subtotal="average" baseField="1" baseItem="0" numFmtId="164"/>
    <dataField name="Média de WS/48" fld="12" subtotal="average" baseField="1" baseItem="0" numFmtId="2"/>
  </dataFields>
  <formats count="1">
    <format dxfId="5">
      <pivotArea collapsedLevelsAreSubtotals="1" fieldPosition="0">
        <references count="2">
          <reference field="4294967294" count="1" selected="0">
            <x v="4"/>
          </reference>
          <reference field="1"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1F8A9-3184-4EAE-AC63-61FBA46A51D4}" name="Tabela dinâmica11" cacheId="8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5">
  <location ref="A1:C6" firstHeaderRow="0" firstDataRow="1" firstDataCol="1"/>
  <pivotFields count="14">
    <pivotField showAll="0"/>
    <pivotField axis="axisRow" showAll="0">
      <items count="7">
        <item x="0"/>
        <item x="1"/>
        <item x="2"/>
        <item x="3"/>
        <item x="4"/>
        <item x="5"/>
        <item t="default"/>
      </items>
    </pivotField>
    <pivotField showAll="0"/>
    <pivotField showAll="0"/>
    <pivotField showAll="0"/>
    <pivotField showAll="0"/>
    <pivotField numFmtId="2" showAll="0"/>
    <pivotField numFmtId="164" showAll="0"/>
    <pivotField numFmtId="164" showAll="0"/>
    <pivotField numFmtId="164" showAll="0"/>
    <pivotField numFmtId="164" showAll="0"/>
    <pivotField numFmtId="164" showAll="0"/>
    <pivotField dataField="1" numFmtId="164" showAll="0"/>
    <pivotField dataField="1" numFmtId="165" showAll="0"/>
  </pivotFields>
  <rowFields count="1">
    <field x="1"/>
  </rowFields>
  <rowItems count="5">
    <i>
      <x v="1"/>
    </i>
    <i>
      <x v="2"/>
    </i>
    <i>
      <x v="3"/>
    </i>
    <i>
      <x v="4"/>
    </i>
    <i t="grand">
      <x/>
    </i>
  </rowItems>
  <colFields count="1">
    <field x="-2"/>
  </colFields>
  <colItems count="2">
    <i>
      <x/>
    </i>
    <i i="1">
      <x v="1"/>
    </i>
  </colItems>
  <dataFields count="2">
    <dataField name="Média de WS" fld="12" subtotal="average" baseField="1" baseItem="0" numFmtId="164"/>
    <dataField name="Média de WS/48" fld="13" subtotal="average" baseField="1" baseItem="0" numFmtId="165"/>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58FF99-C32C-43FF-B226-F927580FE045}" name="Tabela dinâmica8" cacheId="8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C38" firstHeaderRow="0" firstDataRow="1" firstDataCol="1"/>
  <pivotFields count="13">
    <pivotField showAll="0"/>
    <pivotField axis="axisRow" numFmtId="1" showAll="0">
      <items count="37">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showAll="0"/>
    <pivotField showAll="0"/>
    <pivotField showAll="0"/>
    <pivotField dataField="1" showAll="0"/>
    <pivotField dataField="1" numFmtId="2" showAll="0"/>
  </pivotFields>
  <rowFields count="1">
    <field x="1"/>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Média de WS" fld="11" subtotal="average" baseField="1" baseItem="1"/>
    <dataField name="Média de WS/48" fld="12" subtotal="average" baseField="1"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69E3C426-3DED-4F92-9414-30E0CAB40517}" autoFormatId="16" applyNumberFormats="0" applyBorderFormats="0" applyFontFormats="0" applyPatternFormats="0" applyAlignmentFormats="0" applyWidthHeightFormats="0">
  <queryTableRefresh nextId="17">
    <queryTableFields count="13">
      <queryTableField id="1" name="Season" tableColumnId="1"/>
      <queryTableField id="12" dataBound="0" tableColumnId="12"/>
      <queryTableField id="2" name="Player" tableColumnId="2"/>
      <queryTableField id="3" name="Age" tableColumnId="3"/>
      <queryTableField id="4" name="Team" tableColumnId="4"/>
      <queryTableField id="5" name="G" tableColumnId="5"/>
      <queryTableField id="6" dataBound="0" tableColumnId="6"/>
      <queryTableField id="13" dataBound="0" tableColumnId="13"/>
      <queryTableField id="7" dataBound="0" tableColumnId="7"/>
      <queryTableField id="8" dataBound="0" tableColumnId="8"/>
      <queryTableField id="9" dataBound="0" tableColumnId="9"/>
      <queryTableField id="10" dataBound="0" tableColumnId="10"/>
      <queryTableField id="11" name="WS/48" tableColumnId="11"/>
    </queryTableFields>
    <queryTableDeletedFields count="5">
      <deletedField name="MP"/>
      <deletedField name="TRB"/>
      <deletedField name="STL"/>
      <deletedField name="BLK"/>
      <deletedField name="WS"/>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9F997331-5E43-4B5C-A333-CFAB5AE0F394}" autoFormatId="16" applyNumberFormats="0" applyBorderFormats="0" applyFontFormats="0" applyPatternFormats="0" applyAlignmentFormats="0" applyWidthHeightFormats="0">
  <queryTableRefresh nextId="17">
    <queryTableFields count="13">
      <queryTableField id="1" name="Season" tableColumnId="1"/>
      <queryTableField id="12" dataBound="0" tableColumnId="12"/>
      <queryTableField id="2" name="Player" tableColumnId="2"/>
      <queryTableField id="3" name="Age" tableColumnId="3"/>
      <queryTableField id="4" name="Team" tableColumnId="4"/>
      <queryTableField id="5" name="G" tableColumnId="5"/>
      <queryTableField id="6" dataBound="0" tableColumnId="6"/>
      <queryTableField id="13" dataBound="0" tableColumnId="13"/>
      <queryTableField id="7" dataBound="0" tableColumnId="7"/>
      <queryTableField id="8" dataBound="0" tableColumnId="8"/>
      <queryTableField id="9" dataBound="0" tableColumnId="9"/>
      <queryTableField id="10" dataBound="0" tableColumnId="10"/>
      <queryTableField id="11" name="WS/48" tableColumnId="11"/>
    </queryTableFields>
    <queryTableDeletedFields count="5">
      <deletedField name="MP"/>
      <deletedField name="TRB"/>
      <deletedField name="STL"/>
      <deletedField name="BLK"/>
      <deletedField name="WS"/>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3" connectionId="3" xr16:uid="{94C0A8E2-8359-4DF8-B68F-A9D5C74FA538}" autoFormatId="16" applyNumberFormats="0" applyBorderFormats="0" applyFontFormats="0" applyPatternFormats="0" applyAlignmentFormats="0" applyWidthHeightFormats="0">
  <queryTableRefresh nextId="17">
    <queryTableFields count="13">
      <queryTableField id="1" name="Season" tableColumnId="1"/>
      <queryTableField id="12" dataBound="0" tableColumnId="12"/>
      <queryTableField id="2" name="Player" tableColumnId="2"/>
      <queryTableField id="3" name="Age" tableColumnId="3"/>
      <queryTableField id="4" name="Team" tableColumnId="4"/>
      <queryTableField id="5" name="G" tableColumnId="5"/>
      <queryTableField id="6" dataBound="0" tableColumnId="6"/>
      <queryTableField id="13" dataBound="0" tableColumnId="13"/>
      <queryTableField id="7" dataBound="0" tableColumnId="7"/>
      <queryTableField id="8" dataBound="0" tableColumnId="8"/>
      <queryTableField id="9" dataBound="0" tableColumnId="9"/>
      <queryTableField id="10" dataBound="0" tableColumnId="10"/>
      <queryTableField id="11" name="WS/48" tableColumnId="11"/>
    </queryTableFields>
    <queryTableDeletedFields count="5">
      <deletedField name="MP"/>
      <deletedField name="TRB"/>
      <deletedField name="STL"/>
      <deletedField name="BLK"/>
      <deletedField name="WS"/>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19E683-A825-426C-85B9-4EA0C248D242}" name="Tabela2" displayName="Tabela2" ref="A1:I37" totalsRowShown="0">
  <autoFilter ref="A1:I37" xr:uid="{2F19E683-A825-426C-85B9-4EA0C248D242}"/>
  <tableColumns count="9">
    <tableColumn id="1" xr3:uid="{2021FD37-A730-4B0D-A874-958DD190F758}" name="Year" dataDxfId="51"/>
    <tableColumn id="2" xr3:uid="{C21EE704-7B50-4677-91B4-5740485957BF}" name="PTS"/>
    <tableColumn id="3" xr3:uid="{1AA95611-A950-4E10-8FC2-BEEC656648C4}" name="TRB"/>
    <tableColumn id="4" xr3:uid="{2F773646-6304-4675-82D4-D5D3DE4F3083}" name="AST"/>
    <tableColumn id="5" xr3:uid="{8BA7D7E8-1756-4937-B689-9777C1E38634}" name="STL"/>
    <tableColumn id="6" xr3:uid="{5C4425AF-638A-4FCB-BD85-3E774E64A8F6}" name="BLK"/>
    <tableColumn id="7" xr3:uid="{D3A0E0B1-D4A0-4A6E-9A4B-D5363D542FB7}" name="FG%"/>
    <tableColumn id="8" xr3:uid="{A7001D8E-071B-4AEB-A076-D0F2735879C7}" name="WS"/>
    <tableColumn id="9" xr3:uid="{E9FC49C4-089C-42C9-8C47-997B01B6757D}" name="WS/4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E82D42-31EE-48C3-AE47-FA1E25BC5110}" name="DPOY12" displayName="DPOY12" ref="A1:M37" tableType="queryTable" totalsRowShown="0">
  <autoFilter ref="A1:M37" xr:uid="{58E82D42-31EE-48C3-AE47-FA1E25BC5110}"/>
  <tableColumns count="13">
    <tableColumn id="1" xr3:uid="{2DB8C3E9-1CD1-496F-83D0-A7FECAF24381}" uniqueName="1" name="Season" queryTableFieldId="1" dataDxfId="50" totalsRowDxfId="49"/>
    <tableColumn id="12" xr3:uid="{62A1873F-1B30-4AD3-9C26-942A9F952818}" uniqueName="12" name="Year" queryTableFieldId="12" dataDxfId="48" totalsRowDxfId="47"/>
    <tableColumn id="2" xr3:uid="{088C2E7C-64E8-4273-B047-CE308C4FB2EB}" uniqueName="2" name="Player" queryTableFieldId="2" dataDxfId="46" totalsRowDxfId="45"/>
    <tableColumn id="3" xr3:uid="{880ACDA5-C6B4-4212-AE17-36F37EE72E70}" uniqueName="3" name="Age" queryTableFieldId="3"/>
    <tableColumn id="4" xr3:uid="{D7C5B61F-0989-4CE4-BC66-C0331D02B92A}" uniqueName="4" name="Team" queryTableFieldId="4" dataDxfId="44" totalsRowDxfId="43"/>
    <tableColumn id="5" xr3:uid="{69C36C29-AEC3-4B1D-9E89-0937430A1FD4}" uniqueName="5" name="G" queryTableFieldId="5"/>
    <tableColumn id="6" xr3:uid="{36BA85D7-8189-4479-A12D-26F7FF30AF82}" uniqueName="6" name="MP" queryTableFieldId="6"/>
    <tableColumn id="13" xr3:uid="{5F741911-84EA-4A5F-99B7-59FBB01DF93D}" uniqueName="13" name="MP corrigido" queryTableFieldId="13" dataDxfId="42">
      <calculatedColumnFormula>IF(DPOY12[[#This Row],[MP]]&gt;100,DPOY12[[#This Row],[MP]]/10,DPOY12[[#This Row],[MP]])</calculatedColumnFormula>
    </tableColumn>
    <tableColumn id="7" xr3:uid="{BA4E1000-E035-419F-AB59-AB193E9E33F8}" uniqueName="7" name="TRB" queryTableFieldId="7"/>
    <tableColumn id="8" xr3:uid="{33BCA63B-5190-4EA6-8EA6-93B8661176A9}" uniqueName="8" name="STL" queryTableFieldId="8"/>
    <tableColumn id="9" xr3:uid="{00A70E41-F220-40CF-BEB4-5B6E6727DE51}" uniqueName="9" name="BLK" queryTableFieldId="9"/>
    <tableColumn id="10" xr3:uid="{86DA16BF-5C26-4A60-B7A0-6AD59BAA3F94}" uniqueName="10" name="WS" queryTableFieldId="10" dataDxfId="41"/>
    <tableColumn id="11" xr3:uid="{BC10E8DA-4835-446B-8204-E214DB95B087}" uniqueName="11" name="WS/48" queryTableFieldId="11" dataDxfId="40" totalsRowDxfId="3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717B53-908A-450D-91C6-EF3CF983E80E}" name="DPOY" displayName="DPOY" ref="A1:M37" tableType="queryTable" totalsRowShown="0">
  <autoFilter ref="A1:M37" xr:uid="{95717B53-908A-450D-91C6-EF3CF983E80E}"/>
  <tableColumns count="13">
    <tableColumn id="1" xr3:uid="{C8FEC532-0B00-4EED-9E76-C14A744B7016}" uniqueName="1" name="Season" queryTableFieldId="1" dataDxfId="38" totalsRowDxfId="37"/>
    <tableColumn id="12" xr3:uid="{6EF9E9E1-4735-4789-A1D3-9A5119263E7A}" uniqueName="12" name="Year" queryTableFieldId="12" dataDxfId="36" totalsRowDxfId="35"/>
    <tableColumn id="2" xr3:uid="{9A72B80E-4AB7-4113-BAC0-3F0312918920}" uniqueName="2" name="Player" queryTableFieldId="2" dataDxfId="34" totalsRowDxfId="33"/>
    <tableColumn id="3" xr3:uid="{DCBBDD32-22D7-4F11-BC24-65A892506D08}" uniqueName="3" name="Age" queryTableFieldId="3"/>
    <tableColumn id="4" xr3:uid="{441A99A9-F4F5-4DA3-95A9-BB54ABBD8FC3}" uniqueName="4" name="Team" queryTableFieldId="4" dataDxfId="32" totalsRowDxfId="31"/>
    <tableColumn id="5" xr3:uid="{FBBAF92D-352C-4871-9077-F4D7E7FC2767}" uniqueName="5" name="G" queryTableFieldId="5"/>
    <tableColumn id="6" xr3:uid="{FB9ECA60-9D6D-4B50-91E4-004197A92EA9}" uniqueName="6" name="MP" queryTableFieldId="6"/>
    <tableColumn id="13" xr3:uid="{237FEF38-2CB4-42F2-A29E-F70755770134}" uniqueName="13" name="MP corrigido" queryTableFieldId="13" dataDxfId="30">
      <calculatedColumnFormula>IF(DPOY[[#This Row],[MP]]&gt;100,DPOY[[#This Row],[MP]]/10,DPOY[[#This Row],[MP]])</calculatedColumnFormula>
    </tableColumn>
    <tableColumn id="7" xr3:uid="{AAAAD0E0-13CC-437F-9334-8E4F20C7AE36}" uniqueName="7" name="TRB" queryTableFieldId="7"/>
    <tableColumn id="8" xr3:uid="{47E38082-5F5D-444C-9ECB-D6BC8DA175B2}" uniqueName="8" name="STL" queryTableFieldId="8"/>
    <tableColumn id="9" xr3:uid="{F095453F-20EA-485C-BAFB-46C01B07A42A}" uniqueName="9" name="BLK" queryTableFieldId="9"/>
    <tableColumn id="10" xr3:uid="{10915228-C92B-4806-8983-D825B9098779}" uniqueName="10" name="WS" queryTableFieldId="10" dataDxfId="29"/>
    <tableColumn id="11" xr3:uid="{886CB78F-9AAF-4CA3-B747-B0664A8B76DD}" uniqueName="11" name="WS/48" queryTableFieldId="11" dataDxfId="28" totalsRowDxf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144E4B-5F44-4758-94FF-FC9DB7F73C2F}" name="DPOY1214" displayName="DPOY1214" ref="A1:M37" tableType="queryTable" totalsRowShown="0">
  <autoFilter ref="A1:M37" xr:uid="{2E144E4B-5F44-4758-94FF-FC9DB7F73C2F}"/>
  <tableColumns count="13">
    <tableColumn id="1" xr3:uid="{5517F37D-6757-40ED-AE94-BC1036269B5A}" uniqueName="1" name="Season" queryTableFieldId="1" dataDxfId="26" totalsRowDxfId="25"/>
    <tableColumn id="12" xr3:uid="{2011C0DA-494B-47D9-A0C5-566C5BD23591}" uniqueName="12" name="Year" queryTableFieldId="12" dataDxfId="24" totalsRowDxfId="23"/>
    <tableColumn id="2" xr3:uid="{07DA360D-5BB1-41F7-86EC-1A9281517248}" uniqueName="2" name="Player" queryTableFieldId="2" dataDxfId="22" totalsRowDxfId="21"/>
    <tableColumn id="3" xr3:uid="{BE6B168C-96C3-4706-9FC1-C79C4C68837D}" uniqueName="3" name="Age" queryTableFieldId="3"/>
    <tableColumn id="4" xr3:uid="{8E887948-528D-432F-A911-06C873BFE001}" uniqueName="4" name="Team" queryTableFieldId="4" dataDxfId="20" totalsRowDxfId="19"/>
    <tableColumn id="5" xr3:uid="{8DBB50E5-DF32-40F8-9C8C-D225BDFBD4FC}" uniqueName="5" name="G" queryTableFieldId="5"/>
    <tableColumn id="6" xr3:uid="{DD9A86A1-5167-417D-BDF7-5C018D2F228B}" uniqueName="6" name="MP" queryTableFieldId="6"/>
    <tableColumn id="13" xr3:uid="{7FB08BC5-04D6-4EDE-A932-366114247EBB}" uniqueName="13" name="MP corrigido" queryTableFieldId="13" dataDxfId="18">
      <calculatedColumnFormula>IF(DPOY1214[[#This Row],[MP]]&gt;100,DPOY1214[[#This Row],[MP]]/10,DPOY1214[[#This Row],[MP]])</calculatedColumnFormula>
    </tableColumn>
    <tableColumn id="7" xr3:uid="{F31D7A44-56CB-462E-9A01-E0AC271AA535}" uniqueName="7" name="TRB" queryTableFieldId="7"/>
    <tableColumn id="8" xr3:uid="{8BBE6AF3-949E-4D77-941E-EFB47F17B049}" uniqueName="8" name="STL" queryTableFieldId="8"/>
    <tableColumn id="9" xr3:uid="{35ACF949-EC46-48E0-A557-18546ED9DBA8}" uniqueName="9" name="BLK" queryTableFieldId="9"/>
    <tableColumn id="10" xr3:uid="{4D6E5B76-9ED2-4229-B3F4-E6479465D5D0}" uniqueName="10" name="WS" queryTableFieldId="10" dataDxfId="17"/>
    <tableColumn id="11" xr3:uid="{6C14843A-7C42-4F35-8F77-B428A5830C04}" uniqueName="11" name="WS/48" queryTableFieldId="11" dataDxfId="16" totalsRow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C2AFBB-5D46-4B21-BB45-EA23BDD3547D}" name="Tabela9" displayName="Tabela9" ref="A1:N39" totalsRowShown="0">
  <autoFilter ref="A1:N39" xr:uid="{60C2AFBB-5D46-4B21-BB45-EA23BDD3547D}"/>
  <tableColumns count="14">
    <tableColumn id="1" xr3:uid="{E7C3F9AA-A382-4CBD-8886-9FDE4EDF8331}" name="Season"/>
    <tableColumn id="14" xr3:uid="{D7E85EC1-2618-462B-9C84-E3B32F334619}" name="Year" dataDxfId="14"/>
    <tableColumn id="2" xr3:uid="{19481DDB-8DC7-4C18-8FA6-21E9D86EBCA7}" name="Player"/>
    <tableColumn id="3" xr3:uid="{3DB216C0-3CAB-4F43-AE1F-F4A731E67F40}" name="Age"/>
    <tableColumn id="4" xr3:uid="{DE95EE5D-C5EF-4296-8077-097ABB57AD00}" name="Team"/>
    <tableColumn id="5" xr3:uid="{085FEE81-E3A2-4795-9FB4-F20765563DCA}" name="G"/>
    <tableColumn id="6" xr3:uid="{A69B4E35-5B9B-4387-BFD8-461E09B04B75}" name="MP" dataDxfId="13"/>
    <tableColumn id="7" xr3:uid="{37D522C0-CEDD-45B9-8016-432D8CCAE34B}" name="PTS" dataDxfId="12"/>
    <tableColumn id="8" xr3:uid="{9FEF8772-969F-463E-B778-35FACA0E246E}" name="TRB" dataDxfId="11"/>
    <tableColumn id="9" xr3:uid="{CA2A9E73-4105-45E3-A9C3-C953DA340DE0}" name="AST" dataDxfId="10"/>
    <tableColumn id="10" xr3:uid="{2A16EE22-BE97-4CF1-8612-DF38922FF3C7}" name="STL" dataDxfId="9"/>
    <tableColumn id="11" xr3:uid="{A11CBB15-5804-463F-83A0-177AFD20E9DB}" name="BLK" dataDxfId="8"/>
    <tableColumn id="12" xr3:uid="{5D121093-350C-424C-99D6-292CC0D6C8E2}" name="WS" dataDxfId="7"/>
    <tableColumn id="13" xr3:uid="{C48EECB6-C9BC-40CE-8D42-427BFF26ACA5}" name="WS/48" dataDxfId="6"/>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5050197-3B7F-41DE-A538-72677182464C}" name="Tabela18" displayName="Tabela18" ref="A1:G37" totalsRowShown="0">
  <autoFilter ref="A1:G37" xr:uid="{45050197-3B7F-41DE-A538-72677182464C}"/>
  <tableColumns count="7">
    <tableColumn id="1" xr3:uid="{DD7C4F9B-253F-4F22-8E36-9AEC768F82EC}" name="Year"/>
    <tableColumn id="2" xr3:uid="{2BF6AE75-D63A-482D-AE32-FB64C81A88F6}" name="PTS"/>
    <tableColumn id="3" xr3:uid="{8A189F60-4A0F-430F-8EE2-ABB28EEF5933}" name="TRB"/>
    <tableColumn id="4" xr3:uid="{1B87ACE0-6A90-4EF8-A5ED-CE8E41F2DF3E}" name="AST"/>
    <tableColumn id="7" xr3:uid="{5D79BEFB-9622-4EB0-9935-D68D5E13F161}" name="FG%"/>
    <tableColumn id="8" xr3:uid="{F667561C-1407-465E-8D5D-ACF1BC3A4C76}" name="WS"/>
    <tableColumn id="9" xr3:uid="{D914052D-36C1-4C84-AEF6-EC60FDD14B86}" name="WS/48"/>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AC76FB2-5DA2-409D-8315-1DCCC5BBCB8F}" name="Tabela19" displayName="Tabela19" ref="I1:K5" totalsRowShown="0">
  <autoFilter ref="I1:K5" xr:uid="{6AC76FB2-5DA2-409D-8315-1DCCC5BBCB8F}"/>
  <tableColumns count="3">
    <tableColumn id="1" xr3:uid="{C054F0A1-9772-4544-85B9-7BF8E260215B}" name="Metric"/>
    <tableColumn id="2" xr3:uid="{A239AD34-1DE2-4781-AC43-CED9F52BD99A}" name="Correlation with WS" dataDxfId="4"/>
    <tableColumn id="3" xr3:uid="{5AD3894C-9F61-4829-BD77-43A2D6802D17}" name="Correlation with WS/48" dataDxfId="3"/>
  </tableColumns>
  <tableStyleInfo name="TableStyleLight1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82D69C9-6161-4E08-8C5A-C5E895C65EF9}" name="Tabela16" displayName="Tabela16" ref="A1:G37" totalsRowShown="0">
  <autoFilter ref="A1:G37" xr:uid="{A82D69C9-6161-4E08-8C5A-C5E895C65EF9}"/>
  <tableColumns count="7">
    <tableColumn id="1" xr3:uid="{3E09E83E-905D-49B3-A626-7672A0669E37}" name="Year"/>
    <tableColumn id="2" xr3:uid="{7E642516-2058-4DEB-8BB0-6E409F3527D6}" name="TRB"/>
    <tableColumn id="3" xr3:uid="{6567F96E-C0A0-4272-A80C-290A45138874}" name="STL"/>
    <tableColumn id="4" xr3:uid="{E6013F49-A346-4390-8A0B-7D0601F30198}" name="BLK"/>
    <tableColumn id="5" xr3:uid="{7690B37A-EAAE-457E-9533-3E65C5D7F1EB}" name="MP"/>
    <tableColumn id="6" xr3:uid="{E3F01E96-AA90-48DC-8AD1-47B882A7400A}" name="WS"/>
    <tableColumn id="7" xr3:uid="{A2B357FF-0AA4-48EA-A568-A76060AF573C}" name="WS/48" dataDxfId="2"/>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846050B-86E1-455B-BCEA-56BEF390F7C2}" name="Tabela17" displayName="Tabela17" ref="J1:L5" totalsRowShown="0">
  <autoFilter ref="J1:L5" xr:uid="{5846050B-86E1-455B-BCEA-56BEF390F7C2}"/>
  <tableColumns count="3">
    <tableColumn id="1" xr3:uid="{A0AF9394-7D86-4AB8-89D9-5974713834B8}" name="Metric"/>
    <tableColumn id="2" xr3:uid="{E99669E3-A86F-4B73-A834-5554DBA6CA89}" name="Correlation with WS" dataDxfId="1"/>
    <tableColumn id="3" xr3:uid="{3033DD70-E021-44C6-8FF4-C293835FEEA3}" name="Correlation with WS/48" dataDxfId="0"/>
  </tableColumns>
  <tableStyleInfo name="TableStyleLight1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01A10-B6D2-4C42-A1D9-6DDEBE4B29AA}">
  <dimension ref="A1:G4"/>
  <sheetViews>
    <sheetView workbookViewId="0">
      <selection activeCell="R34" sqref="R34"/>
    </sheetView>
  </sheetViews>
  <sheetFormatPr defaultRowHeight="15" x14ac:dyDescent="0.25"/>
  <sheetData>
    <row r="1" spans="1:7" ht="18.75" x14ac:dyDescent="0.3">
      <c r="A1" s="15" t="s">
        <v>212</v>
      </c>
      <c r="B1" s="15"/>
      <c r="C1" s="15"/>
      <c r="D1" s="15"/>
      <c r="E1" s="15"/>
      <c r="F1" s="15"/>
      <c r="G1" s="15"/>
    </row>
    <row r="3" spans="1:7" x14ac:dyDescent="0.25">
      <c r="A3" t="s">
        <v>301</v>
      </c>
    </row>
    <row r="4" spans="1:7" x14ac:dyDescent="0.25">
      <c r="A4" t="s">
        <v>302</v>
      </c>
    </row>
  </sheetData>
  <mergeCells count="1">
    <mergeCell ref="A1:G1"/>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9299-43CA-47F1-B6F7-59B25805EE0D}">
  <dimension ref="A1:A32"/>
  <sheetViews>
    <sheetView showGridLines="0" workbookViewId="0">
      <selection activeCell="A34" sqref="A34"/>
    </sheetView>
  </sheetViews>
  <sheetFormatPr defaultRowHeight="15" x14ac:dyDescent="0.25"/>
  <cols>
    <col min="1" max="1" width="10.28515625" customWidth="1"/>
  </cols>
  <sheetData>
    <row r="1" spans="1:1" ht="18.75" x14ac:dyDescent="0.3">
      <c r="A1" s="13" t="s">
        <v>212</v>
      </c>
    </row>
    <row r="3" spans="1:1" x14ac:dyDescent="0.25">
      <c r="A3" t="s">
        <v>0</v>
      </c>
    </row>
    <row r="4" spans="1:1" x14ac:dyDescent="0.25">
      <c r="A4" t="s">
        <v>1</v>
      </c>
    </row>
    <row r="6" spans="1:1" x14ac:dyDescent="0.25">
      <c r="A6" t="s">
        <v>5</v>
      </c>
    </row>
    <row r="7" spans="1:1" x14ac:dyDescent="0.25">
      <c r="A7" t="s">
        <v>4</v>
      </c>
    </row>
    <row r="8" spans="1:1" x14ac:dyDescent="0.25">
      <c r="A8" t="s">
        <v>6</v>
      </c>
    </row>
    <row r="10" spans="1:1" x14ac:dyDescent="0.25">
      <c r="A10" t="s">
        <v>2</v>
      </c>
    </row>
    <row r="11" spans="1:1" x14ac:dyDescent="0.25">
      <c r="A11" t="s">
        <v>3</v>
      </c>
    </row>
    <row r="13" spans="1:1" x14ac:dyDescent="0.25">
      <c r="A13" t="s">
        <v>213</v>
      </c>
    </row>
    <row r="14" spans="1:1" x14ac:dyDescent="0.25">
      <c r="A14" t="s">
        <v>294</v>
      </c>
    </row>
    <row r="15" spans="1:1" x14ac:dyDescent="0.25">
      <c r="A15" t="s">
        <v>295</v>
      </c>
    </row>
    <row r="16" spans="1:1" x14ac:dyDescent="0.25">
      <c r="A16" t="s">
        <v>296</v>
      </c>
    </row>
    <row r="17" spans="1:1" x14ac:dyDescent="0.25">
      <c r="A17" t="s">
        <v>297</v>
      </c>
    </row>
    <row r="19" spans="1:1" x14ac:dyDescent="0.25">
      <c r="A19" t="s">
        <v>214</v>
      </c>
    </row>
    <row r="20" spans="1:1" x14ac:dyDescent="0.25">
      <c r="A20" t="s">
        <v>218</v>
      </c>
    </row>
    <row r="21" spans="1:1" x14ac:dyDescent="0.25">
      <c r="A21" t="s">
        <v>219</v>
      </c>
    </row>
    <row r="22" spans="1:1" x14ac:dyDescent="0.25">
      <c r="A22" t="s">
        <v>220</v>
      </c>
    </row>
    <row r="23" spans="1:1" x14ac:dyDescent="0.25">
      <c r="A23" t="s">
        <v>221</v>
      </c>
    </row>
    <row r="24" spans="1:1" x14ac:dyDescent="0.25">
      <c r="A24" t="s">
        <v>222</v>
      </c>
    </row>
    <row r="26" spans="1:1" ht="15.75" x14ac:dyDescent="0.25">
      <c r="A26" s="11" t="s">
        <v>215</v>
      </c>
    </row>
    <row r="27" spans="1:1" x14ac:dyDescent="0.25">
      <c r="A27" t="s">
        <v>292</v>
      </c>
    </row>
    <row r="28" spans="1:1" x14ac:dyDescent="0.25">
      <c r="A28" t="s">
        <v>293</v>
      </c>
    </row>
    <row r="30" spans="1:1" ht="15.75" x14ac:dyDescent="0.25">
      <c r="A30" s="11" t="s">
        <v>216</v>
      </c>
    </row>
    <row r="31" spans="1:1" x14ac:dyDescent="0.25">
      <c r="A31" t="s">
        <v>217</v>
      </c>
    </row>
    <row r="32" spans="1:1" x14ac:dyDescent="0.25">
      <c r="A32" t="s">
        <v>223</v>
      </c>
    </row>
  </sheetData>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88F8-B7C2-4E99-8CF4-AB9B77E0A99B}">
  <dimension ref="A1:R37"/>
  <sheetViews>
    <sheetView topLeftCell="A19" workbookViewId="0">
      <selection activeCell="R1" activeCellId="2" sqref="L1:M1 Q1 R1"/>
    </sheetView>
  </sheetViews>
  <sheetFormatPr defaultRowHeight="15" x14ac:dyDescent="0.25"/>
  <cols>
    <col min="1" max="1" width="15.140625" customWidth="1"/>
    <col min="2" max="2" width="17.140625" customWidth="1"/>
    <col min="4" max="4" width="23.140625" bestFit="1" customWidth="1"/>
  </cols>
  <sheetData>
    <row r="1" spans="1:18" x14ac:dyDescent="0.25">
      <c r="A1" t="s">
        <v>7</v>
      </c>
      <c r="B1" t="s">
        <v>127</v>
      </c>
      <c r="C1" t="s">
        <v>8</v>
      </c>
      <c r="D1" t="s">
        <v>9</v>
      </c>
      <c r="E1" t="s">
        <v>10</v>
      </c>
      <c r="F1" t="s">
        <v>11</v>
      </c>
      <c r="G1" t="s">
        <v>12</v>
      </c>
      <c r="H1" t="s">
        <v>13</v>
      </c>
      <c r="I1" t="s">
        <v>14</v>
      </c>
      <c r="J1" t="s">
        <v>15</v>
      </c>
      <c r="K1" t="s">
        <v>16</v>
      </c>
      <c r="L1" t="s">
        <v>17</v>
      </c>
      <c r="M1" t="s">
        <v>18</v>
      </c>
      <c r="N1" t="s">
        <v>19</v>
      </c>
      <c r="O1" t="s">
        <v>20</v>
      </c>
      <c r="P1" t="s">
        <v>21</v>
      </c>
      <c r="Q1" t="s">
        <v>22</v>
      </c>
      <c r="R1" t="s">
        <v>23</v>
      </c>
    </row>
    <row r="2" spans="1:18" x14ac:dyDescent="0.25">
      <c r="A2" t="s">
        <v>24</v>
      </c>
      <c r="B2" t="s">
        <v>128</v>
      </c>
      <c r="C2" t="s">
        <v>25</v>
      </c>
      <c r="D2" t="s">
        <v>26</v>
      </c>
      <c r="E2">
        <v>26</v>
      </c>
      <c r="F2" t="s">
        <v>27</v>
      </c>
      <c r="G2">
        <v>76</v>
      </c>
      <c r="H2" t="s">
        <v>28</v>
      </c>
      <c r="I2">
        <v>32.700000000000003</v>
      </c>
      <c r="J2">
        <v>5</v>
      </c>
      <c r="K2">
        <v>6.4</v>
      </c>
      <c r="L2">
        <v>1.7</v>
      </c>
      <c r="M2">
        <v>1</v>
      </c>
      <c r="N2">
        <v>0.51900000000000002</v>
      </c>
      <c r="O2">
        <v>0.375</v>
      </c>
      <c r="P2">
        <v>0.89800000000000002</v>
      </c>
      <c r="Q2">
        <v>16.7</v>
      </c>
      <c r="R2">
        <v>0.309</v>
      </c>
    </row>
    <row r="3" spans="1:18" x14ac:dyDescent="0.25">
      <c r="A3" t="s">
        <v>30</v>
      </c>
      <c r="B3" t="s">
        <v>129</v>
      </c>
      <c r="C3" t="s">
        <v>25</v>
      </c>
      <c r="D3" t="s">
        <v>31</v>
      </c>
      <c r="E3">
        <v>28</v>
      </c>
      <c r="F3" t="s">
        <v>32</v>
      </c>
      <c r="G3">
        <v>79</v>
      </c>
      <c r="H3" t="s">
        <v>33</v>
      </c>
      <c r="I3">
        <v>26.4</v>
      </c>
      <c r="J3">
        <v>12.4</v>
      </c>
      <c r="K3">
        <v>9</v>
      </c>
      <c r="L3">
        <v>1.4</v>
      </c>
      <c r="M3">
        <v>0.9</v>
      </c>
      <c r="N3">
        <v>0.58299999999999996</v>
      </c>
      <c r="O3">
        <v>0.35899999999999999</v>
      </c>
      <c r="P3">
        <v>0.81699999999999995</v>
      </c>
      <c r="Q3">
        <v>17</v>
      </c>
      <c r="R3">
        <v>0.29899999999999999</v>
      </c>
    </row>
    <row r="4" spans="1:18" x14ac:dyDescent="0.25">
      <c r="A4" t="s">
        <v>34</v>
      </c>
      <c r="B4" t="s">
        <v>130</v>
      </c>
      <c r="C4" t="s">
        <v>25</v>
      </c>
      <c r="D4" t="s">
        <v>35</v>
      </c>
      <c r="E4">
        <v>28</v>
      </c>
      <c r="F4" t="s">
        <v>36</v>
      </c>
      <c r="G4">
        <v>66</v>
      </c>
      <c r="H4" t="s">
        <v>33</v>
      </c>
      <c r="I4">
        <v>33.1</v>
      </c>
      <c r="J4">
        <v>10.199999999999999</v>
      </c>
      <c r="K4">
        <v>4.2</v>
      </c>
      <c r="L4">
        <v>1</v>
      </c>
      <c r="M4">
        <v>1.7</v>
      </c>
      <c r="N4">
        <v>0.54800000000000004</v>
      </c>
      <c r="O4">
        <v>0.33</v>
      </c>
      <c r="P4">
        <v>0.85699999999999998</v>
      </c>
      <c r="Q4">
        <v>12.3</v>
      </c>
      <c r="R4">
        <v>0.25900000000000001</v>
      </c>
    </row>
    <row r="5" spans="1:18" x14ac:dyDescent="0.25">
      <c r="A5" t="s">
        <v>37</v>
      </c>
      <c r="B5" t="s">
        <v>131</v>
      </c>
      <c r="C5" t="s">
        <v>25</v>
      </c>
      <c r="D5" t="s">
        <v>31</v>
      </c>
      <c r="E5">
        <v>26</v>
      </c>
      <c r="F5" t="s">
        <v>32</v>
      </c>
      <c r="G5">
        <v>74</v>
      </c>
      <c r="H5" t="s">
        <v>38</v>
      </c>
      <c r="I5">
        <v>27.1</v>
      </c>
      <c r="J5">
        <v>13.8</v>
      </c>
      <c r="K5">
        <v>7.9</v>
      </c>
      <c r="L5">
        <v>1.5</v>
      </c>
      <c r="M5">
        <v>0.9</v>
      </c>
      <c r="N5">
        <v>0.58299999999999996</v>
      </c>
      <c r="O5">
        <v>0.33700000000000002</v>
      </c>
      <c r="P5">
        <v>0.81</v>
      </c>
      <c r="Q5">
        <v>15.2</v>
      </c>
      <c r="R5">
        <v>0.29599999999999999</v>
      </c>
    </row>
    <row r="6" spans="1:18" x14ac:dyDescent="0.25">
      <c r="A6" t="s">
        <v>39</v>
      </c>
      <c r="B6" t="s">
        <v>132</v>
      </c>
      <c r="C6" t="s">
        <v>25</v>
      </c>
      <c r="D6" t="s">
        <v>31</v>
      </c>
      <c r="E6">
        <v>25</v>
      </c>
      <c r="F6" t="s">
        <v>32</v>
      </c>
      <c r="G6">
        <v>72</v>
      </c>
      <c r="H6" t="s">
        <v>33</v>
      </c>
      <c r="I6">
        <v>26.4</v>
      </c>
      <c r="J6">
        <v>10.8</v>
      </c>
      <c r="K6">
        <v>8.3000000000000007</v>
      </c>
      <c r="L6">
        <v>1.3</v>
      </c>
      <c r="M6">
        <v>0.7</v>
      </c>
      <c r="N6">
        <v>0.56599999999999995</v>
      </c>
      <c r="O6">
        <v>0.38800000000000001</v>
      </c>
      <c r="P6">
        <v>0.86799999999999999</v>
      </c>
      <c r="Q6">
        <v>15.6</v>
      </c>
      <c r="R6">
        <v>0.30099999999999999</v>
      </c>
    </row>
    <row r="7" spans="1:18" x14ac:dyDescent="0.25">
      <c r="A7" t="s">
        <v>40</v>
      </c>
      <c r="B7" t="s">
        <v>133</v>
      </c>
      <c r="C7" t="s">
        <v>25</v>
      </c>
      <c r="D7" t="s">
        <v>41</v>
      </c>
      <c r="E7">
        <v>25</v>
      </c>
      <c r="F7" t="s">
        <v>42</v>
      </c>
      <c r="G7">
        <v>63</v>
      </c>
      <c r="H7" t="s">
        <v>43</v>
      </c>
      <c r="I7">
        <v>29.5</v>
      </c>
      <c r="J7">
        <v>13.6</v>
      </c>
      <c r="K7">
        <v>5.6</v>
      </c>
      <c r="L7">
        <v>1</v>
      </c>
      <c r="M7">
        <v>1</v>
      </c>
      <c r="N7">
        <v>0.55300000000000005</v>
      </c>
      <c r="O7">
        <v>0.30399999999999999</v>
      </c>
      <c r="P7">
        <v>0.63300000000000001</v>
      </c>
      <c r="Q7">
        <v>11.1</v>
      </c>
      <c r="R7">
        <v>0.27900000000000003</v>
      </c>
    </row>
    <row r="8" spans="1:18" x14ac:dyDescent="0.25">
      <c r="A8" t="s">
        <v>44</v>
      </c>
      <c r="B8" t="s">
        <v>134</v>
      </c>
      <c r="C8" t="s">
        <v>25</v>
      </c>
      <c r="D8" t="s">
        <v>41</v>
      </c>
      <c r="E8">
        <v>24</v>
      </c>
      <c r="F8" t="s">
        <v>42</v>
      </c>
      <c r="G8">
        <v>72</v>
      </c>
      <c r="H8" t="s">
        <v>45</v>
      </c>
      <c r="I8">
        <v>27.7</v>
      </c>
      <c r="J8">
        <v>12.5</v>
      </c>
      <c r="K8">
        <v>5.9</v>
      </c>
      <c r="L8">
        <v>1.3</v>
      </c>
      <c r="M8">
        <v>1.5</v>
      </c>
      <c r="N8">
        <v>0.57799999999999996</v>
      </c>
      <c r="O8">
        <v>0.25600000000000001</v>
      </c>
      <c r="P8">
        <v>0.72899999999999998</v>
      </c>
      <c r="Q8">
        <v>14.4</v>
      </c>
      <c r="R8">
        <v>0.29199999999999998</v>
      </c>
    </row>
    <row r="9" spans="1:18" x14ac:dyDescent="0.25">
      <c r="A9" t="s">
        <v>46</v>
      </c>
      <c r="B9" t="s">
        <v>135</v>
      </c>
      <c r="C9" t="s">
        <v>25</v>
      </c>
      <c r="D9" t="s">
        <v>47</v>
      </c>
      <c r="E9">
        <v>28</v>
      </c>
      <c r="F9" t="s">
        <v>48</v>
      </c>
      <c r="G9">
        <v>72</v>
      </c>
      <c r="H9" t="s">
        <v>49</v>
      </c>
      <c r="I9">
        <v>30.4</v>
      </c>
      <c r="J9">
        <v>5.4</v>
      </c>
      <c r="K9">
        <v>8.8000000000000007</v>
      </c>
      <c r="L9">
        <v>1.8</v>
      </c>
      <c r="M9">
        <v>0.7</v>
      </c>
      <c r="N9">
        <v>0.44900000000000001</v>
      </c>
      <c r="O9">
        <v>0.36699999999999999</v>
      </c>
      <c r="P9">
        <v>0.85799999999999998</v>
      </c>
      <c r="Q9">
        <v>15.4</v>
      </c>
      <c r="R9">
        <v>0.28899999999999998</v>
      </c>
    </row>
    <row r="10" spans="1:18" x14ac:dyDescent="0.25">
      <c r="A10" t="s">
        <v>50</v>
      </c>
      <c r="B10" t="s">
        <v>136</v>
      </c>
      <c r="C10" t="s">
        <v>25</v>
      </c>
      <c r="D10" t="s">
        <v>51</v>
      </c>
      <c r="E10">
        <v>28</v>
      </c>
      <c r="F10" t="s">
        <v>27</v>
      </c>
      <c r="G10">
        <v>81</v>
      </c>
      <c r="H10" t="s">
        <v>33</v>
      </c>
      <c r="I10">
        <v>31.6</v>
      </c>
      <c r="J10">
        <v>10.7</v>
      </c>
      <c r="K10">
        <v>10.4</v>
      </c>
      <c r="L10">
        <v>1.6</v>
      </c>
      <c r="M10">
        <v>0.4</v>
      </c>
      <c r="N10">
        <v>0.42499999999999999</v>
      </c>
      <c r="O10">
        <v>0.34300000000000003</v>
      </c>
      <c r="P10">
        <v>0.84499999999999997</v>
      </c>
      <c r="Q10">
        <v>13.1</v>
      </c>
      <c r="R10">
        <v>0.224</v>
      </c>
    </row>
    <row r="11" spans="1:18" x14ac:dyDescent="0.25">
      <c r="A11" t="s">
        <v>52</v>
      </c>
      <c r="B11" t="s">
        <v>137</v>
      </c>
      <c r="C11" t="s">
        <v>25</v>
      </c>
      <c r="D11" t="s">
        <v>53</v>
      </c>
      <c r="E11">
        <v>27</v>
      </c>
      <c r="F11" t="s">
        <v>54</v>
      </c>
      <c r="G11">
        <v>79</v>
      </c>
      <c r="H11" t="s">
        <v>28</v>
      </c>
      <c r="I11">
        <v>30.1</v>
      </c>
      <c r="J11">
        <v>5.4</v>
      </c>
      <c r="K11">
        <v>6.7</v>
      </c>
      <c r="L11">
        <v>2.1</v>
      </c>
      <c r="M11">
        <v>0.2</v>
      </c>
      <c r="N11">
        <v>0.504</v>
      </c>
      <c r="O11">
        <v>0.45400000000000001</v>
      </c>
      <c r="P11">
        <v>0.90800000000000003</v>
      </c>
      <c r="Q11">
        <v>17.899999999999999</v>
      </c>
      <c r="R11">
        <v>0.318</v>
      </c>
    </row>
    <row r="12" spans="1:18" x14ac:dyDescent="0.25">
      <c r="A12" t="s">
        <v>55</v>
      </c>
      <c r="B12" t="s">
        <v>138</v>
      </c>
      <c r="C12" t="s">
        <v>25</v>
      </c>
      <c r="D12" t="s">
        <v>53</v>
      </c>
      <c r="E12">
        <v>26</v>
      </c>
      <c r="F12" t="s">
        <v>54</v>
      </c>
      <c r="G12">
        <v>80</v>
      </c>
      <c r="H12" t="s">
        <v>29</v>
      </c>
      <c r="I12">
        <v>23.8</v>
      </c>
      <c r="J12">
        <v>4.3</v>
      </c>
      <c r="K12">
        <v>7.7</v>
      </c>
      <c r="L12">
        <v>2</v>
      </c>
      <c r="M12">
        <v>0.2</v>
      </c>
      <c r="N12">
        <v>0.48699999999999999</v>
      </c>
      <c r="O12">
        <v>0.443</v>
      </c>
      <c r="P12">
        <v>0.91400000000000003</v>
      </c>
      <c r="Q12">
        <v>15.7</v>
      </c>
      <c r="R12">
        <v>0.28799999999999998</v>
      </c>
    </row>
    <row r="13" spans="1:18" x14ac:dyDescent="0.25">
      <c r="A13" t="s">
        <v>56</v>
      </c>
      <c r="B13" t="s">
        <v>139</v>
      </c>
      <c r="C13" t="s">
        <v>25</v>
      </c>
      <c r="D13" t="s">
        <v>57</v>
      </c>
      <c r="E13">
        <v>25</v>
      </c>
      <c r="F13" t="s">
        <v>27</v>
      </c>
      <c r="G13">
        <v>81</v>
      </c>
      <c r="H13" t="s">
        <v>58</v>
      </c>
      <c r="I13">
        <v>32</v>
      </c>
      <c r="J13">
        <v>7.4</v>
      </c>
      <c r="K13">
        <v>5.5</v>
      </c>
      <c r="L13">
        <v>1.3</v>
      </c>
      <c r="M13">
        <v>0.7</v>
      </c>
      <c r="N13">
        <v>0.503</v>
      </c>
      <c r="O13">
        <v>0.39100000000000001</v>
      </c>
      <c r="P13">
        <v>0.873</v>
      </c>
      <c r="Q13">
        <v>19.2</v>
      </c>
      <c r="R13">
        <v>0.29499999999999998</v>
      </c>
    </row>
    <row r="14" spans="1:18" x14ac:dyDescent="0.25">
      <c r="A14" t="s">
        <v>59</v>
      </c>
      <c r="B14" t="s">
        <v>140</v>
      </c>
      <c r="C14" t="s">
        <v>25</v>
      </c>
      <c r="D14" t="s">
        <v>60</v>
      </c>
      <c r="E14">
        <v>28</v>
      </c>
      <c r="F14" t="s">
        <v>61</v>
      </c>
      <c r="G14">
        <v>76</v>
      </c>
      <c r="H14" t="s">
        <v>62</v>
      </c>
      <c r="I14">
        <v>26.8</v>
      </c>
      <c r="J14">
        <v>8</v>
      </c>
      <c r="K14">
        <v>7.3</v>
      </c>
      <c r="L14">
        <v>1.7</v>
      </c>
      <c r="M14">
        <v>0.9</v>
      </c>
      <c r="N14">
        <v>0.56499999999999995</v>
      </c>
      <c r="O14">
        <v>0.40600000000000003</v>
      </c>
      <c r="P14">
        <v>0.753</v>
      </c>
      <c r="Q14">
        <v>19.3</v>
      </c>
      <c r="R14">
        <v>0.32200000000000001</v>
      </c>
    </row>
    <row r="15" spans="1:18" x14ac:dyDescent="0.25">
      <c r="A15" t="s">
        <v>63</v>
      </c>
      <c r="B15" t="s">
        <v>141</v>
      </c>
      <c r="C15" t="s">
        <v>25</v>
      </c>
      <c r="D15" t="s">
        <v>60</v>
      </c>
      <c r="E15">
        <v>27</v>
      </c>
      <c r="F15" t="s">
        <v>61</v>
      </c>
      <c r="G15">
        <v>62</v>
      </c>
      <c r="H15" t="s">
        <v>64</v>
      </c>
      <c r="I15">
        <v>27.1</v>
      </c>
      <c r="J15">
        <v>7.9</v>
      </c>
      <c r="K15">
        <v>6.2</v>
      </c>
      <c r="L15">
        <v>1.9</v>
      </c>
      <c r="M15">
        <v>0.8</v>
      </c>
      <c r="N15">
        <v>0.53100000000000003</v>
      </c>
      <c r="O15">
        <v>0.36199999999999999</v>
      </c>
      <c r="P15">
        <v>0.77100000000000002</v>
      </c>
      <c r="Q15">
        <v>14.5</v>
      </c>
      <c r="R15">
        <v>0.29799999999999999</v>
      </c>
    </row>
    <row r="16" spans="1:18" x14ac:dyDescent="0.25">
      <c r="A16" t="s">
        <v>65</v>
      </c>
      <c r="B16" t="s">
        <v>142</v>
      </c>
      <c r="C16" t="s">
        <v>25</v>
      </c>
      <c r="D16" t="s">
        <v>66</v>
      </c>
      <c r="E16">
        <v>22</v>
      </c>
      <c r="F16" t="s">
        <v>67</v>
      </c>
      <c r="G16">
        <v>81</v>
      </c>
      <c r="H16" t="s">
        <v>68</v>
      </c>
      <c r="I16">
        <v>25</v>
      </c>
      <c r="J16">
        <v>4.0999999999999996</v>
      </c>
      <c r="K16">
        <v>7.7</v>
      </c>
      <c r="L16">
        <v>1</v>
      </c>
      <c r="M16">
        <v>0.6</v>
      </c>
      <c r="N16">
        <v>0.44500000000000001</v>
      </c>
      <c r="O16">
        <v>0.33200000000000002</v>
      </c>
      <c r="P16">
        <v>0.85799999999999998</v>
      </c>
      <c r="Q16">
        <v>13.1</v>
      </c>
      <c r="R16">
        <v>0.20799999999999999</v>
      </c>
    </row>
    <row r="17" spans="1:18" x14ac:dyDescent="0.25">
      <c r="A17" t="s">
        <v>69</v>
      </c>
      <c r="B17" t="s">
        <v>143</v>
      </c>
      <c r="C17" t="s">
        <v>25</v>
      </c>
      <c r="D17" t="s">
        <v>60</v>
      </c>
      <c r="E17">
        <v>25</v>
      </c>
      <c r="F17" t="s">
        <v>70</v>
      </c>
      <c r="G17">
        <v>76</v>
      </c>
      <c r="H17" t="s">
        <v>71</v>
      </c>
      <c r="I17">
        <v>29.7</v>
      </c>
      <c r="J17">
        <v>7.3</v>
      </c>
      <c r="K17">
        <v>8.6</v>
      </c>
      <c r="L17">
        <v>1.6</v>
      </c>
      <c r="M17">
        <v>1</v>
      </c>
      <c r="N17">
        <v>0.503</v>
      </c>
      <c r="O17">
        <v>0.33300000000000002</v>
      </c>
      <c r="P17">
        <v>0.76700000000000002</v>
      </c>
      <c r="Q17">
        <v>18.5</v>
      </c>
      <c r="R17">
        <v>0.29899999999999999</v>
      </c>
    </row>
    <row r="18" spans="1:18" x14ac:dyDescent="0.25">
      <c r="A18" t="s">
        <v>72</v>
      </c>
      <c r="B18" t="s">
        <v>144</v>
      </c>
      <c r="C18" t="s">
        <v>25</v>
      </c>
      <c r="D18" t="s">
        <v>60</v>
      </c>
      <c r="E18">
        <v>24</v>
      </c>
      <c r="F18" t="s">
        <v>70</v>
      </c>
      <c r="G18">
        <v>81</v>
      </c>
      <c r="H18" t="s">
        <v>73</v>
      </c>
      <c r="I18">
        <v>28.4</v>
      </c>
      <c r="J18">
        <v>7.6</v>
      </c>
      <c r="K18">
        <v>7.2</v>
      </c>
      <c r="L18">
        <v>1.7</v>
      </c>
      <c r="M18">
        <v>1.1000000000000001</v>
      </c>
      <c r="N18">
        <v>0.48899999999999999</v>
      </c>
      <c r="O18">
        <v>0.34399999999999997</v>
      </c>
      <c r="P18">
        <v>0.78</v>
      </c>
      <c r="Q18">
        <v>20.3</v>
      </c>
      <c r="R18">
        <v>0.318</v>
      </c>
    </row>
    <row r="19" spans="1:18" x14ac:dyDescent="0.25">
      <c r="A19" t="s">
        <v>74</v>
      </c>
      <c r="B19" t="s">
        <v>145</v>
      </c>
      <c r="C19" t="s">
        <v>25</v>
      </c>
      <c r="D19" t="s">
        <v>75</v>
      </c>
      <c r="E19">
        <v>29</v>
      </c>
      <c r="F19" t="s">
        <v>76</v>
      </c>
      <c r="G19">
        <v>82</v>
      </c>
      <c r="H19" t="s">
        <v>77</v>
      </c>
      <c r="I19">
        <v>28.3</v>
      </c>
      <c r="J19">
        <v>6.3</v>
      </c>
      <c r="K19">
        <v>5.4</v>
      </c>
      <c r="L19">
        <v>1.8</v>
      </c>
      <c r="M19">
        <v>0.5</v>
      </c>
      <c r="N19">
        <v>0.45900000000000002</v>
      </c>
      <c r="O19">
        <v>0.36099999999999999</v>
      </c>
      <c r="P19">
        <v>0.84</v>
      </c>
      <c r="Q19">
        <v>13.8</v>
      </c>
      <c r="R19">
        <v>0.20799999999999999</v>
      </c>
    </row>
    <row r="20" spans="1:18" x14ac:dyDescent="0.25">
      <c r="A20" t="s">
        <v>78</v>
      </c>
      <c r="B20" t="s">
        <v>146</v>
      </c>
      <c r="C20" t="s">
        <v>25</v>
      </c>
      <c r="D20" t="s">
        <v>79</v>
      </c>
      <c r="E20">
        <v>28</v>
      </c>
      <c r="F20" t="s">
        <v>80</v>
      </c>
      <c r="G20">
        <v>78</v>
      </c>
      <c r="H20" t="s">
        <v>81</v>
      </c>
      <c r="I20">
        <v>24.6</v>
      </c>
      <c r="J20">
        <v>8.9</v>
      </c>
      <c r="K20">
        <v>3.4</v>
      </c>
      <c r="L20">
        <v>0.7</v>
      </c>
      <c r="M20">
        <v>0.8</v>
      </c>
      <c r="N20">
        <v>0.502</v>
      </c>
      <c r="O20">
        <v>0.41599999999999998</v>
      </c>
      <c r="P20">
        <v>0.90400000000000003</v>
      </c>
      <c r="Q20">
        <v>16.3</v>
      </c>
      <c r="R20">
        <v>0.27800000000000002</v>
      </c>
    </row>
    <row r="21" spans="1:18" x14ac:dyDescent="0.25">
      <c r="A21" t="s">
        <v>82</v>
      </c>
      <c r="B21" t="s">
        <v>147</v>
      </c>
      <c r="C21" t="s">
        <v>25</v>
      </c>
      <c r="D21" t="s">
        <v>83</v>
      </c>
      <c r="E21">
        <v>31</v>
      </c>
      <c r="F21" t="s">
        <v>84</v>
      </c>
      <c r="G21">
        <v>79</v>
      </c>
      <c r="H21" t="s">
        <v>49</v>
      </c>
      <c r="I21">
        <v>18.8</v>
      </c>
      <c r="J21">
        <v>4.2</v>
      </c>
      <c r="K21">
        <v>10.5</v>
      </c>
      <c r="L21">
        <v>0.8</v>
      </c>
      <c r="M21">
        <v>0.2</v>
      </c>
      <c r="N21">
        <v>0.51200000000000001</v>
      </c>
      <c r="O21">
        <v>0.439</v>
      </c>
      <c r="P21">
        <v>0.92100000000000004</v>
      </c>
      <c r="Q21">
        <v>12.4</v>
      </c>
      <c r="R21">
        <v>0.21199999999999999</v>
      </c>
    </row>
    <row r="22" spans="1:18" x14ac:dyDescent="0.25">
      <c r="A22" t="s">
        <v>85</v>
      </c>
      <c r="B22" t="s">
        <v>148</v>
      </c>
      <c r="C22" t="s">
        <v>25</v>
      </c>
      <c r="D22" t="s">
        <v>83</v>
      </c>
      <c r="E22">
        <v>30</v>
      </c>
      <c r="F22" t="s">
        <v>84</v>
      </c>
      <c r="G22">
        <v>75</v>
      </c>
      <c r="H22" t="s">
        <v>86</v>
      </c>
      <c r="I22">
        <v>15.5</v>
      </c>
      <c r="J22">
        <v>3.3</v>
      </c>
      <c r="K22">
        <v>11.5</v>
      </c>
      <c r="L22">
        <v>1</v>
      </c>
      <c r="M22">
        <v>0.1</v>
      </c>
      <c r="N22">
        <v>0.502</v>
      </c>
      <c r="O22">
        <v>0.43099999999999999</v>
      </c>
      <c r="P22">
        <v>0.88700000000000001</v>
      </c>
      <c r="Q22">
        <v>10.9</v>
      </c>
      <c r="R22">
        <v>0.20300000000000001</v>
      </c>
    </row>
    <row r="23" spans="1:18" x14ac:dyDescent="0.25">
      <c r="A23" t="s">
        <v>87</v>
      </c>
      <c r="B23" t="s">
        <v>149</v>
      </c>
      <c r="C23" t="s">
        <v>25</v>
      </c>
      <c r="D23" t="s">
        <v>88</v>
      </c>
      <c r="E23">
        <v>27</v>
      </c>
      <c r="F23" t="s">
        <v>89</v>
      </c>
      <c r="G23">
        <v>82</v>
      </c>
      <c r="H23" t="s">
        <v>90</v>
      </c>
      <c r="I23">
        <v>24.2</v>
      </c>
      <c r="J23">
        <v>13.9</v>
      </c>
      <c r="K23">
        <v>5</v>
      </c>
      <c r="L23">
        <v>1.5</v>
      </c>
      <c r="M23">
        <v>2.2000000000000002</v>
      </c>
      <c r="N23">
        <v>0.499</v>
      </c>
      <c r="O23">
        <v>0.25600000000000001</v>
      </c>
      <c r="P23">
        <v>0.79100000000000004</v>
      </c>
      <c r="Q23">
        <v>18.3</v>
      </c>
      <c r="R23">
        <v>0.27200000000000002</v>
      </c>
    </row>
    <row r="24" spans="1:18" x14ac:dyDescent="0.25">
      <c r="A24" t="s">
        <v>91</v>
      </c>
      <c r="B24" t="s">
        <v>150</v>
      </c>
      <c r="C24" t="s">
        <v>25</v>
      </c>
      <c r="D24" t="s">
        <v>92</v>
      </c>
      <c r="E24">
        <v>26</v>
      </c>
      <c r="F24" t="s">
        <v>93</v>
      </c>
      <c r="G24">
        <v>81</v>
      </c>
      <c r="H24" t="s">
        <v>94</v>
      </c>
      <c r="I24">
        <v>23.3</v>
      </c>
      <c r="J24">
        <v>12.9</v>
      </c>
      <c r="K24">
        <v>3.9</v>
      </c>
      <c r="L24">
        <v>0.7</v>
      </c>
      <c r="M24">
        <v>2.9</v>
      </c>
      <c r="N24">
        <v>0.51300000000000001</v>
      </c>
      <c r="O24">
        <v>0.27300000000000002</v>
      </c>
      <c r="P24">
        <v>0.71</v>
      </c>
      <c r="Q24">
        <v>16.5</v>
      </c>
      <c r="R24">
        <v>0.248</v>
      </c>
    </row>
    <row r="25" spans="1:18" x14ac:dyDescent="0.25">
      <c r="A25" t="s">
        <v>95</v>
      </c>
      <c r="B25" t="s">
        <v>151</v>
      </c>
      <c r="C25" t="s">
        <v>25</v>
      </c>
      <c r="D25" t="s">
        <v>92</v>
      </c>
      <c r="E25">
        <v>25</v>
      </c>
      <c r="F25" t="s">
        <v>93</v>
      </c>
      <c r="G25">
        <v>82</v>
      </c>
      <c r="H25" t="s">
        <v>96</v>
      </c>
      <c r="I25">
        <v>25.5</v>
      </c>
      <c r="J25">
        <v>12.7</v>
      </c>
      <c r="K25">
        <v>3.7</v>
      </c>
      <c r="L25">
        <v>0.7</v>
      </c>
      <c r="M25">
        <v>2.5</v>
      </c>
      <c r="N25">
        <v>0.50800000000000001</v>
      </c>
      <c r="O25">
        <v>0.1</v>
      </c>
      <c r="P25">
        <v>0.79900000000000004</v>
      </c>
      <c r="Q25">
        <v>17.8</v>
      </c>
      <c r="R25">
        <v>0.25700000000000001</v>
      </c>
    </row>
    <row r="26" spans="1:18" x14ac:dyDescent="0.25">
      <c r="A26" t="s">
        <v>97</v>
      </c>
      <c r="B26" t="s">
        <v>152</v>
      </c>
      <c r="C26" t="s">
        <v>25</v>
      </c>
      <c r="D26" t="s">
        <v>98</v>
      </c>
      <c r="E26">
        <v>25</v>
      </c>
      <c r="F26" t="s">
        <v>36</v>
      </c>
      <c r="G26">
        <v>71</v>
      </c>
      <c r="H26" t="s">
        <v>99</v>
      </c>
      <c r="I26">
        <v>31.1</v>
      </c>
      <c r="J26">
        <v>3.8</v>
      </c>
      <c r="K26">
        <v>4.5999999999999996</v>
      </c>
      <c r="L26">
        <v>2.5</v>
      </c>
      <c r="M26">
        <v>0.3</v>
      </c>
      <c r="N26">
        <v>0.42</v>
      </c>
      <c r="O26">
        <v>0.32</v>
      </c>
      <c r="P26">
        <v>0.81399999999999995</v>
      </c>
      <c r="Q26">
        <v>11.8</v>
      </c>
      <c r="R26">
        <v>0.19</v>
      </c>
    </row>
    <row r="27" spans="1:18" x14ac:dyDescent="0.25">
      <c r="A27" t="s">
        <v>100</v>
      </c>
      <c r="B27" t="s">
        <v>153</v>
      </c>
      <c r="C27" t="s">
        <v>25</v>
      </c>
      <c r="D27" t="s">
        <v>101</v>
      </c>
      <c r="E27">
        <v>27</v>
      </c>
      <c r="F27" t="s">
        <v>76</v>
      </c>
      <c r="G27">
        <v>79</v>
      </c>
      <c r="H27" t="s">
        <v>102</v>
      </c>
      <c r="I27">
        <v>29.7</v>
      </c>
      <c r="J27">
        <v>13.6</v>
      </c>
      <c r="K27">
        <v>3.8</v>
      </c>
      <c r="L27">
        <v>0.5</v>
      </c>
      <c r="M27">
        <v>3</v>
      </c>
      <c r="N27">
        <v>0.57399999999999995</v>
      </c>
      <c r="O27">
        <v>0</v>
      </c>
      <c r="P27">
        <v>0.52400000000000002</v>
      </c>
      <c r="Q27">
        <v>18.600000000000001</v>
      </c>
      <c r="R27">
        <v>0.28299999999999997</v>
      </c>
    </row>
    <row r="28" spans="1:18" x14ac:dyDescent="0.25">
      <c r="A28" t="s">
        <v>103</v>
      </c>
      <c r="B28" t="s">
        <v>154</v>
      </c>
      <c r="C28" t="s">
        <v>25</v>
      </c>
      <c r="D28" t="s">
        <v>104</v>
      </c>
      <c r="E28">
        <v>35</v>
      </c>
      <c r="F28" t="s">
        <v>105</v>
      </c>
      <c r="G28">
        <v>49</v>
      </c>
      <c r="H28" t="s">
        <v>68</v>
      </c>
      <c r="I28">
        <v>23.8</v>
      </c>
      <c r="J28">
        <v>9.4</v>
      </c>
      <c r="K28">
        <v>4.0999999999999996</v>
      </c>
      <c r="L28">
        <v>1.3</v>
      </c>
      <c r="M28">
        <v>0.6</v>
      </c>
      <c r="N28">
        <v>0.49299999999999999</v>
      </c>
      <c r="O28">
        <v>0</v>
      </c>
      <c r="P28">
        <v>0.78800000000000003</v>
      </c>
      <c r="Q28">
        <v>9.6</v>
      </c>
      <c r="R28">
        <v>0.252</v>
      </c>
    </row>
    <row r="29" spans="1:18" x14ac:dyDescent="0.25">
      <c r="A29" t="s">
        <v>106</v>
      </c>
      <c r="B29" t="s">
        <v>155</v>
      </c>
      <c r="C29" t="s">
        <v>25</v>
      </c>
      <c r="D29" t="s">
        <v>107</v>
      </c>
      <c r="E29">
        <v>34</v>
      </c>
      <c r="F29" t="s">
        <v>67</v>
      </c>
      <c r="G29">
        <v>82</v>
      </c>
      <c r="H29" t="s">
        <v>108</v>
      </c>
      <c r="I29">
        <v>28.7</v>
      </c>
      <c r="J29">
        <v>5.8</v>
      </c>
      <c r="K29">
        <v>3.5</v>
      </c>
      <c r="L29">
        <v>1.7</v>
      </c>
      <c r="M29">
        <v>0.5</v>
      </c>
      <c r="N29">
        <v>0.46500000000000002</v>
      </c>
      <c r="O29">
        <v>0.23799999999999999</v>
      </c>
      <c r="P29">
        <v>0.78400000000000003</v>
      </c>
      <c r="Q29">
        <v>15.8</v>
      </c>
      <c r="R29">
        <v>0.23799999999999999</v>
      </c>
    </row>
    <row r="30" spans="1:18" x14ac:dyDescent="0.25">
      <c r="A30" t="s">
        <v>109</v>
      </c>
      <c r="B30" t="s">
        <v>156</v>
      </c>
      <c r="C30" t="s">
        <v>25</v>
      </c>
      <c r="D30" t="s">
        <v>104</v>
      </c>
      <c r="E30">
        <v>33</v>
      </c>
      <c r="F30" t="s">
        <v>105</v>
      </c>
      <c r="G30">
        <v>82</v>
      </c>
      <c r="H30" t="s">
        <v>110</v>
      </c>
      <c r="I30">
        <v>27.4</v>
      </c>
      <c r="J30">
        <v>9.9</v>
      </c>
      <c r="K30">
        <v>4.5</v>
      </c>
      <c r="L30">
        <v>1.4</v>
      </c>
      <c r="M30">
        <v>0.6</v>
      </c>
      <c r="N30">
        <v>0.55000000000000004</v>
      </c>
      <c r="O30">
        <v>0</v>
      </c>
      <c r="P30">
        <v>0.755</v>
      </c>
      <c r="Q30">
        <v>16.7</v>
      </c>
      <c r="R30">
        <v>0.26800000000000002</v>
      </c>
    </row>
    <row r="31" spans="1:18" x14ac:dyDescent="0.25">
      <c r="A31" t="s">
        <v>111</v>
      </c>
      <c r="B31" t="s">
        <v>157</v>
      </c>
      <c r="C31" t="s">
        <v>25</v>
      </c>
      <c r="D31" t="s">
        <v>107</v>
      </c>
      <c r="E31">
        <v>32</v>
      </c>
      <c r="F31" t="s">
        <v>67</v>
      </c>
      <c r="G31">
        <v>82</v>
      </c>
      <c r="H31" t="s">
        <v>73</v>
      </c>
      <c r="I31">
        <v>30.4</v>
      </c>
      <c r="J31">
        <v>6.6</v>
      </c>
      <c r="K31">
        <v>4.3</v>
      </c>
      <c r="L31">
        <v>2.2000000000000002</v>
      </c>
      <c r="M31">
        <v>0.5</v>
      </c>
      <c r="N31">
        <v>0.495</v>
      </c>
      <c r="O31">
        <v>0.42699999999999999</v>
      </c>
      <c r="P31">
        <v>0.83399999999999996</v>
      </c>
      <c r="Q31">
        <v>20.399999999999999</v>
      </c>
      <c r="R31">
        <v>0.317</v>
      </c>
    </row>
    <row r="32" spans="1:18" x14ac:dyDescent="0.25">
      <c r="A32" t="s">
        <v>112</v>
      </c>
      <c r="B32" t="s">
        <v>158</v>
      </c>
      <c r="C32" t="s">
        <v>25</v>
      </c>
      <c r="D32" t="s">
        <v>113</v>
      </c>
      <c r="E32">
        <v>29</v>
      </c>
      <c r="F32" t="s">
        <v>93</v>
      </c>
      <c r="G32">
        <v>81</v>
      </c>
      <c r="H32" t="s">
        <v>114</v>
      </c>
      <c r="I32">
        <v>27.6</v>
      </c>
      <c r="J32">
        <v>10.8</v>
      </c>
      <c r="K32">
        <v>2.9</v>
      </c>
      <c r="L32">
        <v>1.7</v>
      </c>
      <c r="M32">
        <v>3.2</v>
      </c>
      <c r="N32">
        <v>0.53</v>
      </c>
      <c r="O32">
        <v>0.3</v>
      </c>
      <c r="P32">
        <v>0.77400000000000002</v>
      </c>
      <c r="Q32">
        <v>17.5</v>
      </c>
      <c r="R32">
        <v>0.27300000000000002</v>
      </c>
    </row>
    <row r="33" spans="1:18" x14ac:dyDescent="0.25">
      <c r="A33" t="s">
        <v>115</v>
      </c>
      <c r="B33" t="s">
        <v>159</v>
      </c>
      <c r="C33" t="s">
        <v>25</v>
      </c>
      <c r="D33" t="s">
        <v>116</v>
      </c>
      <c r="E33">
        <v>31</v>
      </c>
      <c r="F33" t="s">
        <v>48</v>
      </c>
      <c r="G33">
        <v>80</v>
      </c>
      <c r="H33" t="s">
        <v>117</v>
      </c>
      <c r="I33">
        <v>27.3</v>
      </c>
      <c r="J33">
        <v>11.9</v>
      </c>
      <c r="K33">
        <v>3.6</v>
      </c>
      <c r="L33">
        <v>1.6</v>
      </c>
      <c r="M33">
        <v>3.7</v>
      </c>
      <c r="N33">
        <v>0.52800000000000002</v>
      </c>
      <c r="O33">
        <v>0.42099999999999999</v>
      </c>
      <c r="P33">
        <v>0.71599999999999997</v>
      </c>
      <c r="Q33">
        <v>14.3</v>
      </c>
      <c r="R33">
        <v>0.21</v>
      </c>
    </row>
    <row r="34" spans="1:18" x14ac:dyDescent="0.25">
      <c r="A34" t="s">
        <v>118</v>
      </c>
      <c r="B34" t="s">
        <v>160</v>
      </c>
      <c r="C34" t="s">
        <v>25</v>
      </c>
      <c r="D34" t="s">
        <v>119</v>
      </c>
      <c r="E34">
        <v>29</v>
      </c>
      <c r="F34" t="s">
        <v>84</v>
      </c>
      <c r="G34">
        <v>76</v>
      </c>
      <c r="H34" t="s">
        <v>120</v>
      </c>
      <c r="I34">
        <v>25.6</v>
      </c>
      <c r="J34">
        <v>12.2</v>
      </c>
      <c r="K34">
        <v>5.0999999999999996</v>
      </c>
      <c r="L34">
        <v>1.6</v>
      </c>
      <c r="M34">
        <v>1</v>
      </c>
      <c r="N34">
        <v>0.52</v>
      </c>
      <c r="O34">
        <v>0.30499999999999999</v>
      </c>
      <c r="P34">
        <v>0.76500000000000001</v>
      </c>
      <c r="Q34">
        <v>14.4</v>
      </c>
      <c r="R34">
        <v>0.24199999999999999</v>
      </c>
    </row>
    <row r="35" spans="1:18" x14ac:dyDescent="0.25">
      <c r="A35" t="s">
        <v>121</v>
      </c>
      <c r="B35" t="s">
        <v>161</v>
      </c>
      <c r="C35" t="s">
        <v>25</v>
      </c>
      <c r="D35" t="s">
        <v>107</v>
      </c>
      <c r="E35">
        <v>28</v>
      </c>
      <c r="F35" t="s">
        <v>67</v>
      </c>
      <c r="G35">
        <v>80</v>
      </c>
      <c r="H35" t="s">
        <v>108</v>
      </c>
      <c r="I35">
        <v>30.1</v>
      </c>
      <c r="J35">
        <v>6.4</v>
      </c>
      <c r="K35">
        <v>6.1</v>
      </c>
      <c r="L35">
        <v>2.2999999999999998</v>
      </c>
      <c r="M35">
        <v>0.9</v>
      </c>
      <c r="N35">
        <v>0.51900000000000002</v>
      </c>
      <c r="O35">
        <v>0.27</v>
      </c>
      <c r="P35">
        <v>0.83199999999999996</v>
      </c>
      <c r="Q35">
        <v>17.7</v>
      </c>
      <c r="R35">
        <v>0.27400000000000002</v>
      </c>
    </row>
    <row r="36" spans="1:18" x14ac:dyDescent="0.25">
      <c r="A36" t="s">
        <v>122</v>
      </c>
      <c r="B36" t="s">
        <v>162</v>
      </c>
      <c r="C36" t="s">
        <v>25</v>
      </c>
      <c r="D36" t="s">
        <v>107</v>
      </c>
      <c r="E36">
        <v>27</v>
      </c>
      <c r="F36" t="s">
        <v>67</v>
      </c>
      <c r="G36">
        <v>82</v>
      </c>
      <c r="H36" t="s">
        <v>123</v>
      </c>
      <c r="I36">
        <v>31.5</v>
      </c>
      <c r="J36">
        <v>6</v>
      </c>
      <c r="K36">
        <v>5.5</v>
      </c>
      <c r="L36">
        <v>2.7</v>
      </c>
      <c r="M36">
        <v>1</v>
      </c>
      <c r="N36">
        <v>0.53900000000000003</v>
      </c>
      <c r="O36">
        <v>0.312</v>
      </c>
      <c r="P36">
        <v>0.85099999999999998</v>
      </c>
      <c r="Q36">
        <v>20.3</v>
      </c>
      <c r="R36">
        <v>0.32100000000000001</v>
      </c>
    </row>
    <row r="37" spans="1:18" x14ac:dyDescent="0.25">
      <c r="A37" t="s">
        <v>124</v>
      </c>
      <c r="B37" t="s">
        <v>163</v>
      </c>
      <c r="C37" t="s">
        <v>25</v>
      </c>
      <c r="D37" t="s">
        <v>125</v>
      </c>
      <c r="E37">
        <v>30</v>
      </c>
      <c r="F37" t="s">
        <v>76</v>
      </c>
      <c r="G37">
        <v>79</v>
      </c>
      <c r="H37" t="s">
        <v>126</v>
      </c>
      <c r="I37">
        <v>22.3</v>
      </c>
      <c r="J37">
        <v>6.6</v>
      </c>
      <c r="K37">
        <v>11.5</v>
      </c>
      <c r="L37">
        <v>1.7</v>
      </c>
      <c r="M37">
        <v>0.4</v>
      </c>
      <c r="N37">
        <v>0.48</v>
      </c>
      <c r="O37">
        <v>0.38400000000000001</v>
      </c>
      <c r="P37">
        <v>0.89</v>
      </c>
      <c r="Q37">
        <v>16.5</v>
      </c>
      <c r="R37">
        <v>0.27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65B49-8D61-48A9-AC3B-18087009426F}">
  <dimension ref="A1:I37"/>
  <sheetViews>
    <sheetView workbookViewId="0">
      <selection sqref="A1:I37"/>
    </sheetView>
  </sheetViews>
  <sheetFormatPr defaultRowHeight="15" x14ac:dyDescent="0.25"/>
  <cols>
    <col min="1" max="1" width="9.140625" style="3"/>
  </cols>
  <sheetData>
    <row r="1" spans="1:9" x14ac:dyDescent="0.25">
      <c r="A1" s="3" t="s">
        <v>127</v>
      </c>
      <c r="B1" t="s">
        <v>14</v>
      </c>
      <c r="C1" t="s">
        <v>15</v>
      </c>
      <c r="D1" t="s">
        <v>16</v>
      </c>
      <c r="E1" t="s">
        <v>17</v>
      </c>
      <c r="F1" t="s">
        <v>18</v>
      </c>
      <c r="G1" t="s">
        <v>19</v>
      </c>
      <c r="H1" t="s">
        <v>22</v>
      </c>
      <c r="I1" t="s">
        <v>23</v>
      </c>
    </row>
    <row r="2" spans="1:9" x14ac:dyDescent="0.25">
      <c r="A2" s="3">
        <v>2024</v>
      </c>
      <c r="B2">
        <v>32.700000000000003</v>
      </c>
      <c r="C2">
        <v>5</v>
      </c>
      <c r="D2">
        <v>6.4</v>
      </c>
      <c r="E2">
        <v>1.7</v>
      </c>
      <c r="F2">
        <v>1</v>
      </c>
      <c r="G2">
        <v>0.51900000000000002</v>
      </c>
      <c r="H2">
        <v>16.7</v>
      </c>
      <c r="I2">
        <v>0.309</v>
      </c>
    </row>
    <row r="3" spans="1:9" x14ac:dyDescent="0.25">
      <c r="A3" s="3">
        <v>2023</v>
      </c>
      <c r="B3">
        <v>26.4</v>
      </c>
      <c r="C3">
        <v>12.4</v>
      </c>
      <c r="D3">
        <v>9</v>
      </c>
      <c r="E3">
        <v>1.4</v>
      </c>
      <c r="F3">
        <v>0.9</v>
      </c>
      <c r="G3">
        <v>0.58299999999999996</v>
      </c>
      <c r="H3">
        <v>17</v>
      </c>
      <c r="I3">
        <v>0.29899999999999999</v>
      </c>
    </row>
    <row r="4" spans="1:9" x14ac:dyDescent="0.25">
      <c r="A4" s="3">
        <v>2022</v>
      </c>
      <c r="B4">
        <v>33.1</v>
      </c>
      <c r="C4">
        <v>10.199999999999999</v>
      </c>
      <c r="D4">
        <v>4.2</v>
      </c>
      <c r="E4">
        <v>1</v>
      </c>
      <c r="F4">
        <v>1.7</v>
      </c>
      <c r="G4">
        <v>0.54800000000000004</v>
      </c>
      <c r="H4">
        <v>12.3</v>
      </c>
      <c r="I4">
        <v>0.25900000000000001</v>
      </c>
    </row>
    <row r="5" spans="1:9" x14ac:dyDescent="0.25">
      <c r="A5" s="3">
        <v>2021</v>
      </c>
      <c r="B5">
        <v>27.1</v>
      </c>
      <c r="C5">
        <v>13.8</v>
      </c>
      <c r="D5">
        <v>7.9</v>
      </c>
      <c r="E5">
        <v>1.5</v>
      </c>
      <c r="F5">
        <v>0.9</v>
      </c>
      <c r="G5">
        <v>0.58299999999999996</v>
      </c>
      <c r="H5">
        <v>15.2</v>
      </c>
      <c r="I5">
        <v>0.29599999999999999</v>
      </c>
    </row>
    <row r="6" spans="1:9" x14ac:dyDescent="0.25">
      <c r="A6" s="3">
        <v>2020</v>
      </c>
      <c r="B6">
        <v>26.4</v>
      </c>
      <c r="C6">
        <v>10.8</v>
      </c>
      <c r="D6">
        <v>8.3000000000000007</v>
      </c>
      <c r="E6">
        <v>1.3</v>
      </c>
      <c r="F6">
        <v>0.7</v>
      </c>
      <c r="G6">
        <v>0.56599999999999995</v>
      </c>
      <c r="H6">
        <v>15.6</v>
      </c>
      <c r="I6">
        <v>0.30099999999999999</v>
      </c>
    </row>
    <row r="7" spans="1:9" x14ac:dyDescent="0.25">
      <c r="A7" s="3">
        <v>2019</v>
      </c>
      <c r="B7">
        <v>29.5</v>
      </c>
      <c r="C7">
        <v>13.6</v>
      </c>
      <c r="D7">
        <v>5.6</v>
      </c>
      <c r="E7">
        <v>1</v>
      </c>
      <c r="F7">
        <v>1</v>
      </c>
      <c r="G7">
        <v>0.55300000000000005</v>
      </c>
      <c r="H7">
        <v>11.1</v>
      </c>
      <c r="I7">
        <v>0.27900000000000003</v>
      </c>
    </row>
    <row r="8" spans="1:9" x14ac:dyDescent="0.25">
      <c r="A8" s="3">
        <v>2018</v>
      </c>
      <c r="B8">
        <v>27.7</v>
      </c>
      <c r="C8">
        <v>12.5</v>
      </c>
      <c r="D8">
        <v>5.9</v>
      </c>
      <c r="E8">
        <v>1.3</v>
      </c>
      <c r="F8">
        <v>1.5</v>
      </c>
      <c r="G8">
        <v>0.57799999999999996</v>
      </c>
      <c r="H8">
        <v>14.4</v>
      </c>
      <c r="I8">
        <v>0.29199999999999998</v>
      </c>
    </row>
    <row r="9" spans="1:9" x14ac:dyDescent="0.25">
      <c r="A9" s="3">
        <v>2017</v>
      </c>
      <c r="B9">
        <v>30.4</v>
      </c>
      <c r="C9">
        <v>5.4</v>
      </c>
      <c r="D9">
        <v>8.8000000000000007</v>
      </c>
      <c r="E9">
        <v>1.8</v>
      </c>
      <c r="F9">
        <v>0.7</v>
      </c>
      <c r="G9">
        <v>0.44900000000000001</v>
      </c>
      <c r="H9">
        <v>15.4</v>
      </c>
      <c r="I9">
        <v>0.28899999999999998</v>
      </c>
    </row>
    <row r="10" spans="1:9" x14ac:dyDescent="0.25">
      <c r="A10" s="3">
        <v>2016</v>
      </c>
      <c r="B10">
        <v>31.6</v>
      </c>
      <c r="C10">
        <v>10.7</v>
      </c>
      <c r="D10">
        <v>10.4</v>
      </c>
      <c r="E10">
        <v>1.6</v>
      </c>
      <c r="F10">
        <v>0.4</v>
      </c>
      <c r="G10">
        <v>0.42499999999999999</v>
      </c>
      <c r="H10">
        <v>13.1</v>
      </c>
      <c r="I10">
        <v>0.224</v>
      </c>
    </row>
    <row r="11" spans="1:9" x14ac:dyDescent="0.25">
      <c r="A11" s="3">
        <v>2015</v>
      </c>
      <c r="B11">
        <v>30.1</v>
      </c>
      <c r="C11">
        <v>5.4</v>
      </c>
      <c r="D11">
        <v>6.7</v>
      </c>
      <c r="E11">
        <v>2.1</v>
      </c>
      <c r="F11">
        <v>0.2</v>
      </c>
      <c r="G11">
        <v>0.504</v>
      </c>
      <c r="H11">
        <v>17.899999999999999</v>
      </c>
      <c r="I11">
        <v>0.318</v>
      </c>
    </row>
    <row r="12" spans="1:9" x14ac:dyDescent="0.25">
      <c r="A12" s="3">
        <v>2014</v>
      </c>
      <c r="B12">
        <v>23.8</v>
      </c>
      <c r="C12">
        <v>4.3</v>
      </c>
      <c r="D12">
        <v>7.7</v>
      </c>
      <c r="E12">
        <v>2</v>
      </c>
      <c r="F12">
        <v>0.2</v>
      </c>
      <c r="G12">
        <v>0.48699999999999999</v>
      </c>
      <c r="H12">
        <v>15.7</v>
      </c>
      <c r="I12">
        <v>0.28799999999999998</v>
      </c>
    </row>
    <row r="13" spans="1:9" x14ac:dyDescent="0.25">
      <c r="A13" s="3">
        <v>2013</v>
      </c>
      <c r="B13">
        <v>32</v>
      </c>
      <c r="C13">
        <v>7.4</v>
      </c>
      <c r="D13">
        <v>5.5</v>
      </c>
      <c r="E13">
        <v>1.3</v>
      </c>
      <c r="F13">
        <v>0.7</v>
      </c>
      <c r="G13">
        <v>0.503</v>
      </c>
      <c r="H13">
        <v>19.2</v>
      </c>
      <c r="I13">
        <v>0.29499999999999998</v>
      </c>
    </row>
    <row r="14" spans="1:9" x14ac:dyDescent="0.25">
      <c r="A14" s="3">
        <v>2012</v>
      </c>
      <c r="B14">
        <v>26.8</v>
      </c>
      <c r="C14">
        <v>8</v>
      </c>
      <c r="D14">
        <v>7.3</v>
      </c>
      <c r="E14">
        <v>1.7</v>
      </c>
      <c r="F14">
        <v>0.9</v>
      </c>
      <c r="G14">
        <v>0.56499999999999995</v>
      </c>
      <c r="H14">
        <v>19.3</v>
      </c>
      <c r="I14">
        <v>0.32200000000000001</v>
      </c>
    </row>
    <row r="15" spans="1:9" x14ac:dyDescent="0.25">
      <c r="A15" s="3">
        <v>2011</v>
      </c>
      <c r="B15">
        <v>27.1</v>
      </c>
      <c r="C15">
        <v>7.9</v>
      </c>
      <c r="D15">
        <v>6.2</v>
      </c>
      <c r="E15">
        <v>1.9</v>
      </c>
      <c r="F15">
        <v>0.8</v>
      </c>
      <c r="G15">
        <v>0.53100000000000003</v>
      </c>
      <c r="H15">
        <v>14.5</v>
      </c>
      <c r="I15">
        <v>0.29799999999999999</v>
      </c>
    </row>
    <row r="16" spans="1:9" x14ac:dyDescent="0.25">
      <c r="A16" s="3">
        <v>2010</v>
      </c>
      <c r="B16">
        <v>25</v>
      </c>
      <c r="C16">
        <v>4.0999999999999996</v>
      </c>
      <c r="D16">
        <v>7.7</v>
      </c>
      <c r="E16">
        <v>1</v>
      </c>
      <c r="F16">
        <v>0.6</v>
      </c>
      <c r="G16">
        <v>0.44500000000000001</v>
      </c>
      <c r="H16">
        <v>13.1</v>
      </c>
      <c r="I16">
        <v>0.20799999999999999</v>
      </c>
    </row>
    <row r="17" spans="1:9" x14ac:dyDescent="0.25">
      <c r="A17" s="3">
        <v>2009</v>
      </c>
      <c r="B17">
        <v>29.7</v>
      </c>
      <c r="C17">
        <v>7.3</v>
      </c>
      <c r="D17">
        <v>8.6</v>
      </c>
      <c r="E17">
        <v>1.6</v>
      </c>
      <c r="F17">
        <v>1</v>
      </c>
      <c r="G17">
        <v>0.503</v>
      </c>
      <c r="H17">
        <v>18.5</v>
      </c>
      <c r="I17">
        <v>0.29899999999999999</v>
      </c>
    </row>
    <row r="18" spans="1:9" x14ac:dyDescent="0.25">
      <c r="A18" s="3">
        <v>2008</v>
      </c>
      <c r="B18">
        <v>28.4</v>
      </c>
      <c r="C18">
        <v>7.6</v>
      </c>
      <c r="D18">
        <v>7.2</v>
      </c>
      <c r="E18">
        <v>1.7</v>
      </c>
      <c r="F18">
        <v>1.1000000000000001</v>
      </c>
      <c r="G18">
        <v>0.48899999999999999</v>
      </c>
      <c r="H18">
        <v>20.3</v>
      </c>
      <c r="I18">
        <v>0.318</v>
      </c>
    </row>
    <row r="19" spans="1:9" x14ac:dyDescent="0.25">
      <c r="A19" s="3">
        <v>2007</v>
      </c>
      <c r="B19">
        <v>28.3</v>
      </c>
      <c r="C19">
        <v>6.3</v>
      </c>
      <c r="D19">
        <v>5.4</v>
      </c>
      <c r="E19">
        <v>1.8</v>
      </c>
      <c r="F19">
        <v>0.5</v>
      </c>
      <c r="G19">
        <v>0.45900000000000002</v>
      </c>
      <c r="H19">
        <v>13.8</v>
      </c>
      <c r="I19">
        <v>0.20799999999999999</v>
      </c>
    </row>
    <row r="20" spans="1:9" x14ac:dyDescent="0.25">
      <c r="A20" s="3">
        <v>2006</v>
      </c>
      <c r="B20">
        <v>24.6</v>
      </c>
      <c r="C20">
        <v>8.9</v>
      </c>
      <c r="D20">
        <v>3.4</v>
      </c>
      <c r="E20">
        <v>0.7</v>
      </c>
      <c r="F20">
        <v>0.8</v>
      </c>
      <c r="G20">
        <v>0.502</v>
      </c>
      <c r="H20">
        <v>16.3</v>
      </c>
      <c r="I20">
        <v>0.27800000000000002</v>
      </c>
    </row>
    <row r="21" spans="1:9" x14ac:dyDescent="0.25">
      <c r="A21" s="3">
        <v>2005</v>
      </c>
      <c r="B21">
        <v>18.8</v>
      </c>
      <c r="C21">
        <v>4.2</v>
      </c>
      <c r="D21">
        <v>10.5</v>
      </c>
      <c r="E21">
        <v>0.8</v>
      </c>
      <c r="F21">
        <v>0.2</v>
      </c>
      <c r="G21">
        <v>0.51200000000000001</v>
      </c>
      <c r="H21">
        <v>12.4</v>
      </c>
      <c r="I21">
        <v>0.21199999999999999</v>
      </c>
    </row>
    <row r="22" spans="1:9" x14ac:dyDescent="0.25">
      <c r="A22" s="3">
        <v>2004</v>
      </c>
      <c r="B22">
        <v>15.5</v>
      </c>
      <c r="C22">
        <v>3.3</v>
      </c>
      <c r="D22">
        <v>11.5</v>
      </c>
      <c r="E22">
        <v>1</v>
      </c>
      <c r="F22">
        <v>0.1</v>
      </c>
      <c r="G22">
        <v>0.502</v>
      </c>
      <c r="H22">
        <v>10.9</v>
      </c>
      <c r="I22">
        <v>0.20300000000000001</v>
      </c>
    </row>
    <row r="23" spans="1:9" x14ac:dyDescent="0.25">
      <c r="A23" s="3">
        <v>2003</v>
      </c>
      <c r="B23">
        <v>24.2</v>
      </c>
      <c r="C23">
        <v>13.9</v>
      </c>
      <c r="D23">
        <v>5</v>
      </c>
      <c r="E23">
        <v>1.5</v>
      </c>
      <c r="F23">
        <v>2.2000000000000002</v>
      </c>
      <c r="G23">
        <v>0.499</v>
      </c>
      <c r="H23">
        <v>18.3</v>
      </c>
      <c r="I23">
        <v>0.27200000000000002</v>
      </c>
    </row>
    <row r="24" spans="1:9" x14ac:dyDescent="0.25">
      <c r="A24" s="3">
        <v>2002</v>
      </c>
      <c r="B24">
        <v>23.3</v>
      </c>
      <c r="C24">
        <v>12.9</v>
      </c>
      <c r="D24">
        <v>3.9</v>
      </c>
      <c r="E24">
        <v>0.7</v>
      </c>
      <c r="F24">
        <v>2.9</v>
      </c>
      <c r="G24">
        <v>0.51300000000000001</v>
      </c>
      <c r="H24">
        <v>16.5</v>
      </c>
      <c r="I24">
        <v>0.248</v>
      </c>
    </row>
    <row r="25" spans="1:9" x14ac:dyDescent="0.25">
      <c r="A25" s="3">
        <v>2001</v>
      </c>
      <c r="B25">
        <v>25.5</v>
      </c>
      <c r="C25">
        <v>12.7</v>
      </c>
      <c r="D25">
        <v>3.7</v>
      </c>
      <c r="E25">
        <v>0.7</v>
      </c>
      <c r="F25">
        <v>2.5</v>
      </c>
      <c r="G25">
        <v>0.50800000000000001</v>
      </c>
      <c r="H25">
        <v>17.8</v>
      </c>
      <c r="I25">
        <v>0.25700000000000001</v>
      </c>
    </row>
    <row r="26" spans="1:9" x14ac:dyDescent="0.25">
      <c r="A26" s="3">
        <v>2000</v>
      </c>
      <c r="B26">
        <v>31.1</v>
      </c>
      <c r="C26">
        <v>3.8</v>
      </c>
      <c r="D26">
        <v>4.5999999999999996</v>
      </c>
      <c r="E26">
        <v>2.5</v>
      </c>
      <c r="F26">
        <v>0.3</v>
      </c>
      <c r="G26">
        <v>0.42</v>
      </c>
      <c r="H26">
        <v>11.8</v>
      </c>
      <c r="I26">
        <v>0.19</v>
      </c>
    </row>
    <row r="27" spans="1:9" x14ac:dyDescent="0.25">
      <c r="A27" s="3">
        <v>1999</v>
      </c>
      <c r="B27">
        <v>29.7</v>
      </c>
      <c r="C27">
        <v>13.6</v>
      </c>
      <c r="D27">
        <v>3.8</v>
      </c>
      <c r="E27">
        <v>0.5</v>
      </c>
      <c r="F27">
        <v>3</v>
      </c>
      <c r="G27">
        <v>0.57399999999999995</v>
      </c>
      <c r="H27">
        <v>18.600000000000001</v>
      </c>
      <c r="I27">
        <v>0.28299999999999997</v>
      </c>
    </row>
    <row r="28" spans="1:9" x14ac:dyDescent="0.25">
      <c r="A28" s="3">
        <v>1998</v>
      </c>
      <c r="B28">
        <v>23.8</v>
      </c>
      <c r="C28">
        <v>9.4</v>
      </c>
      <c r="D28">
        <v>4.0999999999999996</v>
      </c>
      <c r="E28">
        <v>1.3</v>
      </c>
      <c r="F28">
        <v>0.6</v>
      </c>
      <c r="G28">
        <v>0.49299999999999999</v>
      </c>
      <c r="H28">
        <v>9.6</v>
      </c>
      <c r="I28">
        <v>0.252</v>
      </c>
    </row>
    <row r="29" spans="1:9" x14ac:dyDescent="0.25">
      <c r="A29" s="3">
        <v>1997</v>
      </c>
      <c r="B29">
        <v>28.7</v>
      </c>
      <c r="C29">
        <v>5.8</v>
      </c>
      <c r="D29">
        <v>3.5</v>
      </c>
      <c r="E29">
        <v>1.7</v>
      </c>
      <c r="F29">
        <v>0.5</v>
      </c>
      <c r="G29">
        <v>0.46500000000000002</v>
      </c>
      <c r="H29">
        <v>15.8</v>
      </c>
      <c r="I29">
        <v>0.23799999999999999</v>
      </c>
    </row>
    <row r="30" spans="1:9" x14ac:dyDescent="0.25">
      <c r="A30" s="3">
        <v>1996</v>
      </c>
      <c r="B30">
        <v>27.4</v>
      </c>
      <c r="C30">
        <v>9.9</v>
      </c>
      <c r="D30">
        <v>4.5</v>
      </c>
      <c r="E30">
        <v>1.4</v>
      </c>
      <c r="F30">
        <v>0.6</v>
      </c>
      <c r="G30">
        <v>0.55000000000000004</v>
      </c>
      <c r="H30">
        <v>16.7</v>
      </c>
      <c r="I30">
        <v>0.26800000000000002</v>
      </c>
    </row>
    <row r="31" spans="1:9" x14ac:dyDescent="0.25">
      <c r="A31" s="3">
        <v>1995</v>
      </c>
      <c r="B31">
        <v>30.4</v>
      </c>
      <c r="C31">
        <v>6.6</v>
      </c>
      <c r="D31">
        <v>4.3</v>
      </c>
      <c r="E31">
        <v>2.2000000000000002</v>
      </c>
      <c r="F31">
        <v>0.5</v>
      </c>
      <c r="G31">
        <v>0.495</v>
      </c>
      <c r="H31">
        <v>20.399999999999999</v>
      </c>
      <c r="I31">
        <v>0.317</v>
      </c>
    </row>
    <row r="32" spans="1:9" x14ac:dyDescent="0.25">
      <c r="A32" s="3">
        <v>1994</v>
      </c>
      <c r="B32">
        <v>27.6</v>
      </c>
      <c r="C32">
        <v>10.8</v>
      </c>
      <c r="D32">
        <v>2.9</v>
      </c>
      <c r="E32">
        <v>1.7</v>
      </c>
      <c r="F32">
        <v>3.2</v>
      </c>
      <c r="G32">
        <v>0.53</v>
      </c>
      <c r="H32">
        <v>17.5</v>
      </c>
      <c r="I32">
        <v>0.27300000000000002</v>
      </c>
    </row>
    <row r="33" spans="1:9" x14ac:dyDescent="0.25">
      <c r="A33" s="3">
        <v>1993</v>
      </c>
      <c r="B33">
        <v>27.3</v>
      </c>
      <c r="C33">
        <v>11.9</v>
      </c>
      <c r="D33">
        <v>3.6</v>
      </c>
      <c r="E33">
        <v>1.6</v>
      </c>
      <c r="F33">
        <v>3.7</v>
      </c>
      <c r="G33">
        <v>0.52800000000000002</v>
      </c>
      <c r="H33">
        <v>14.3</v>
      </c>
      <c r="I33">
        <v>0.21</v>
      </c>
    </row>
    <row r="34" spans="1:9" x14ac:dyDescent="0.25">
      <c r="A34" s="3">
        <v>1992</v>
      </c>
      <c r="B34">
        <v>25.6</v>
      </c>
      <c r="C34">
        <v>12.2</v>
      </c>
      <c r="D34">
        <v>5.0999999999999996</v>
      </c>
      <c r="E34">
        <v>1.6</v>
      </c>
      <c r="F34">
        <v>1</v>
      </c>
      <c r="G34">
        <v>0.52</v>
      </c>
      <c r="H34">
        <v>14.4</v>
      </c>
      <c r="I34">
        <v>0.24199999999999999</v>
      </c>
    </row>
    <row r="35" spans="1:9" x14ac:dyDescent="0.25">
      <c r="A35" s="3">
        <v>1991</v>
      </c>
      <c r="B35">
        <v>30.1</v>
      </c>
      <c r="C35">
        <v>6.4</v>
      </c>
      <c r="D35">
        <v>6.1</v>
      </c>
      <c r="E35">
        <v>2.2999999999999998</v>
      </c>
      <c r="F35">
        <v>0.9</v>
      </c>
      <c r="G35">
        <v>0.51900000000000002</v>
      </c>
      <c r="H35">
        <v>17.7</v>
      </c>
      <c r="I35">
        <v>0.27400000000000002</v>
      </c>
    </row>
    <row r="36" spans="1:9" x14ac:dyDescent="0.25">
      <c r="A36" s="3">
        <v>1990</v>
      </c>
      <c r="B36">
        <v>31.5</v>
      </c>
      <c r="C36">
        <v>6</v>
      </c>
      <c r="D36">
        <v>5.5</v>
      </c>
      <c r="E36">
        <v>2.7</v>
      </c>
      <c r="F36">
        <v>1</v>
      </c>
      <c r="G36">
        <v>0.53900000000000003</v>
      </c>
      <c r="H36">
        <v>20.3</v>
      </c>
      <c r="I36">
        <v>0.32100000000000001</v>
      </c>
    </row>
    <row r="37" spans="1:9" x14ac:dyDescent="0.25">
      <c r="A37" s="3">
        <v>1989</v>
      </c>
      <c r="B37">
        <v>22.3</v>
      </c>
      <c r="C37">
        <v>6.6</v>
      </c>
      <c r="D37">
        <v>11.5</v>
      </c>
      <c r="E37">
        <v>1.7</v>
      </c>
      <c r="F37">
        <v>0.4</v>
      </c>
      <c r="G37">
        <v>0.48</v>
      </c>
      <c r="H37">
        <v>16.5</v>
      </c>
      <c r="I37">
        <v>0.27</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B6740-E387-4C1E-893C-E47DA5921898}">
  <dimension ref="A1:M37"/>
  <sheetViews>
    <sheetView workbookViewId="0">
      <selection activeCell="M2" sqref="M2:M37"/>
    </sheetView>
  </sheetViews>
  <sheetFormatPr defaultRowHeight="15" x14ac:dyDescent="0.25"/>
  <cols>
    <col min="3" max="3" width="23" bestFit="1" customWidth="1"/>
  </cols>
  <sheetData>
    <row r="1" spans="1:13" x14ac:dyDescent="0.25">
      <c r="A1" t="s">
        <v>7</v>
      </c>
      <c r="B1" s="3" t="s">
        <v>127</v>
      </c>
      <c r="C1" t="s">
        <v>9</v>
      </c>
      <c r="D1" t="s">
        <v>10</v>
      </c>
      <c r="E1" t="s">
        <v>177</v>
      </c>
      <c r="F1" t="s">
        <v>12</v>
      </c>
      <c r="G1" t="s">
        <v>13</v>
      </c>
      <c r="H1" t="s">
        <v>206</v>
      </c>
      <c r="I1" t="s">
        <v>15</v>
      </c>
      <c r="J1" t="s">
        <v>17</v>
      </c>
      <c r="K1" t="s">
        <v>18</v>
      </c>
      <c r="L1" t="s">
        <v>22</v>
      </c>
      <c r="M1" t="s">
        <v>23</v>
      </c>
    </row>
    <row r="2" spans="1:13" x14ac:dyDescent="0.25">
      <c r="A2" t="s">
        <v>24</v>
      </c>
      <c r="B2" s="3">
        <v>2024</v>
      </c>
      <c r="C2" t="s">
        <v>178</v>
      </c>
      <c r="D2">
        <v>23</v>
      </c>
      <c r="E2" t="s">
        <v>70</v>
      </c>
      <c r="F2">
        <v>71</v>
      </c>
      <c r="G2">
        <v>30.5</v>
      </c>
      <c r="H2">
        <f>IF(DPOY12[[#This Row],[MP]]&gt;100,DPOY12[[#This Row],[MP]]/10,DPOY12[[#This Row],[MP]])</f>
        <v>30.5</v>
      </c>
      <c r="I2">
        <v>9.3000000000000007</v>
      </c>
      <c r="J2">
        <v>0.9</v>
      </c>
      <c r="K2">
        <v>1.6</v>
      </c>
      <c r="L2" s="8">
        <v>9</v>
      </c>
      <c r="M2" s="9">
        <v>0.19949203417224659</v>
      </c>
    </row>
    <row r="3" spans="1:13" x14ac:dyDescent="0.25">
      <c r="A3" t="s">
        <v>30</v>
      </c>
      <c r="B3" s="3">
        <v>2023</v>
      </c>
      <c r="C3" t="s">
        <v>179</v>
      </c>
      <c r="D3">
        <v>31</v>
      </c>
      <c r="E3" t="s">
        <v>89</v>
      </c>
      <c r="F3">
        <v>76</v>
      </c>
      <c r="G3">
        <v>34.1</v>
      </c>
      <c r="H3">
        <f>IF(DPOY12[[#This Row],[MP]]&gt;100,DPOY12[[#This Row],[MP]]/10,DPOY12[[#This Row],[MP]])</f>
        <v>34.1</v>
      </c>
      <c r="I3">
        <v>12.9</v>
      </c>
      <c r="J3">
        <v>0.7</v>
      </c>
      <c r="K3">
        <v>2.1</v>
      </c>
      <c r="L3" s="8">
        <v>11.6</v>
      </c>
      <c r="M3" s="9">
        <v>0.21484797036579717</v>
      </c>
    </row>
    <row r="4" spans="1:13" x14ac:dyDescent="0.25">
      <c r="A4" t="s">
        <v>34</v>
      </c>
      <c r="B4" s="3">
        <v>2022</v>
      </c>
      <c r="C4" t="s">
        <v>180</v>
      </c>
      <c r="D4">
        <v>23</v>
      </c>
      <c r="E4" t="s">
        <v>181</v>
      </c>
      <c r="F4">
        <v>63</v>
      </c>
      <c r="G4">
        <v>28.4</v>
      </c>
      <c r="H4">
        <f>IF(DPOY12[[#This Row],[MP]]&gt;100,DPOY12[[#This Row],[MP]]/10,DPOY12[[#This Row],[MP]])</f>
        <v>28.4</v>
      </c>
      <c r="I4">
        <v>6.8</v>
      </c>
      <c r="J4">
        <v>1</v>
      </c>
      <c r="K4">
        <v>3</v>
      </c>
      <c r="L4" s="8">
        <v>6.6</v>
      </c>
      <c r="M4" s="9">
        <v>0.17706237424547283</v>
      </c>
    </row>
    <row r="5" spans="1:13" x14ac:dyDescent="0.25">
      <c r="A5" t="s">
        <v>37</v>
      </c>
      <c r="B5" s="3">
        <v>2021</v>
      </c>
      <c r="C5" t="s">
        <v>182</v>
      </c>
      <c r="D5">
        <v>27</v>
      </c>
      <c r="E5" t="s">
        <v>183</v>
      </c>
      <c r="F5">
        <v>71</v>
      </c>
      <c r="G5">
        <v>32.299999999999997</v>
      </c>
      <c r="H5">
        <f>IF(DPOY12[[#This Row],[MP]]&gt;100,DPOY12[[#This Row],[MP]]/10,DPOY12[[#This Row],[MP]])</f>
        <v>32.299999999999997</v>
      </c>
      <c r="I5">
        <v>3.8</v>
      </c>
      <c r="J5">
        <v>1.7</v>
      </c>
      <c r="K5">
        <v>0.3</v>
      </c>
      <c r="L5" s="8">
        <v>5.6</v>
      </c>
      <c r="M5" s="9">
        <v>0.11721100597392403</v>
      </c>
    </row>
    <row r="6" spans="1:13" x14ac:dyDescent="0.25">
      <c r="A6" t="s">
        <v>39</v>
      </c>
      <c r="B6" s="3">
        <v>2020</v>
      </c>
      <c r="C6" t="s">
        <v>179</v>
      </c>
      <c r="D6">
        <v>28</v>
      </c>
      <c r="E6" t="s">
        <v>105</v>
      </c>
      <c r="F6">
        <v>71</v>
      </c>
      <c r="G6">
        <v>30.8</v>
      </c>
      <c r="H6">
        <f>IF(DPOY12[[#This Row],[MP]]&gt;100,DPOY12[[#This Row],[MP]]/10,DPOY12[[#This Row],[MP]])</f>
        <v>30.8</v>
      </c>
      <c r="I6">
        <v>13.5</v>
      </c>
      <c r="J6">
        <v>0.6</v>
      </c>
      <c r="K6">
        <v>2.7</v>
      </c>
      <c r="L6" s="8">
        <v>11.3</v>
      </c>
      <c r="M6" s="9">
        <v>0.24803365648436074</v>
      </c>
    </row>
    <row r="7" spans="1:13" x14ac:dyDescent="0.25">
      <c r="A7" t="s">
        <v>40</v>
      </c>
      <c r="B7" s="3">
        <v>2019</v>
      </c>
      <c r="C7" t="s">
        <v>41</v>
      </c>
      <c r="D7">
        <v>25</v>
      </c>
      <c r="E7" t="s">
        <v>42</v>
      </c>
      <c r="F7">
        <v>63</v>
      </c>
      <c r="G7">
        <v>30.4</v>
      </c>
      <c r="H7">
        <f>IF(DPOY12[[#This Row],[MP]]&gt;100,DPOY12[[#This Row],[MP]]/10,DPOY12[[#This Row],[MP]])</f>
        <v>30.4</v>
      </c>
      <c r="I7">
        <v>13.6</v>
      </c>
      <c r="J7">
        <v>1</v>
      </c>
      <c r="K7">
        <v>1</v>
      </c>
      <c r="L7" s="8">
        <v>11.1</v>
      </c>
      <c r="M7" s="9">
        <v>0.2781954887218045</v>
      </c>
    </row>
    <row r="8" spans="1:13" x14ac:dyDescent="0.25">
      <c r="A8" t="s">
        <v>44</v>
      </c>
      <c r="B8" s="3">
        <v>2018</v>
      </c>
      <c r="C8" t="s">
        <v>179</v>
      </c>
      <c r="D8">
        <v>26</v>
      </c>
      <c r="E8" t="s">
        <v>105</v>
      </c>
      <c r="F8">
        <v>81</v>
      </c>
      <c r="G8">
        <v>31.8</v>
      </c>
      <c r="H8">
        <f>IF(DPOY12[[#This Row],[MP]]&gt;100,DPOY12[[#This Row],[MP]]/10,DPOY12[[#This Row],[MP]])</f>
        <v>31.8</v>
      </c>
      <c r="I8">
        <v>12.9</v>
      </c>
      <c r="J8">
        <v>0.8</v>
      </c>
      <c r="K8">
        <v>2.2999999999999998</v>
      </c>
      <c r="L8" s="8">
        <v>14.4</v>
      </c>
      <c r="M8" s="9">
        <v>0.26834381551362685</v>
      </c>
    </row>
    <row r="9" spans="1:13" x14ac:dyDescent="0.25">
      <c r="A9" t="s">
        <v>46</v>
      </c>
      <c r="B9" s="3">
        <v>2017</v>
      </c>
      <c r="C9" t="s">
        <v>179</v>
      </c>
      <c r="D9">
        <v>25</v>
      </c>
      <c r="E9" t="s">
        <v>105</v>
      </c>
      <c r="F9">
        <v>56</v>
      </c>
      <c r="G9">
        <v>32.4</v>
      </c>
      <c r="H9">
        <f>IF(DPOY12[[#This Row],[MP]]&gt;100,DPOY12[[#This Row],[MP]]/10,DPOY12[[#This Row],[MP]])</f>
        <v>32.4</v>
      </c>
      <c r="I9">
        <v>10.7</v>
      </c>
      <c r="J9">
        <v>0.8</v>
      </c>
      <c r="K9">
        <v>2.2999999999999998</v>
      </c>
      <c r="L9" s="8">
        <v>8.1</v>
      </c>
      <c r="M9" s="9">
        <v>0.21428571428571427</v>
      </c>
    </row>
    <row r="10" spans="1:13" x14ac:dyDescent="0.25">
      <c r="A10" t="s">
        <v>50</v>
      </c>
      <c r="B10" s="3">
        <v>2016</v>
      </c>
      <c r="C10" t="s">
        <v>184</v>
      </c>
      <c r="D10">
        <v>26</v>
      </c>
      <c r="E10" t="s">
        <v>54</v>
      </c>
      <c r="F10">
        <v>76</v>
      </c>
      <c r="G10">
        <v>32.5</v>
      </c>
      <c r="H10">
        <f>IF(DPOY12[[#This Row],[MP]]&gt;100,DPOY12[[#This Row],[MP]]/10,DPOY12[[#This Row],[MP]])</f>
        <v>32.5</v>
      </c>
      <c r="I10">
        <v>7.9</v>
      </c>
      <c r="J10">
        <v>2</v>
      </c>
      <c r="K10">
        <v>1.4</v>
      </c>
      <c r="L10" s="8">
        <v>8.1999999999999993</v>
      </c>
      <c r="M10" s="9">
        <v>0.15935222672064775</v>
      </c>
    </row>
    <row r="11" spans="1:13" x14ac:dyDescent="0.25">
      <c r="A11" t="s">
        <v>52</v>
      </c>
      <c r="B11" s="3">
        <v>2015</v>
      </c>
      <c r="C11" t="s">
        <v>185</v>
      </c>
      <c r="D11">
        <v>24</v>
      </c>
      <c r="E11" t="s">
        <v>93</v>
      </c>
      <c r="F11">
        <v>72</v>
      </c>
      <c r="G11">
        <v>33.1</v>
      </c>
      <c r="H11">
        <f>IF(DPOY12[[#This Row],[MP]]&gt;100,DPOY12[[#This Row],[MP]]/10,DPOY12[[#This Row],[MP]])</f>
        <v>33.1</v>
      </c>
      <c r="I11">
        <v>6.8</v>
      </c>
      <c r="J11">
        <v>1.8</v>
      </c>
      <c r="K11">
        <v>1</v>
      </c>
      <c r="L11" s="8">
        <v>13.7</v>
      </c>
      <c r="M11" s="9">
        <v>0.27593152064451149</v>
      </c>
    </row>
    <row r="12" spans="1:13" x14ac:dyDescent="0.25">
      <c r="A12" t="s">
        <v>55</v>
      </c>
      <c r="B12" s="3">
        <v>2014</v>
      </c>
      <c r="C12" t="s">
        <v>185</v>
      </c>
      <c r="D12">
        <v>23</v>
      </c>
      <c r="E12" t="s">
        <v>93</v>
      </c>
      <c r="F12">
        <v>64</v>
      </c>
      <c r="G12">
        <v>31.8</v>
      </c>
      <c r="H12">
        <f>IF(DPOY12[[#This Row],[MP]]&gt;100,DPOY12[[#This Row],[MP]]/10,DPOY12[[#This Row],[MP]])</f>
        <v>31.8</v>
      </c>
      <c r="I12">
        <v>7.2</v>
      </c>
      <c r="J12">
        <v>2.2999999999999998</v>
      </c>
      <c r="K12">
        <v>0.8</v>
      </c>
      <c r="L12" s="8">
        <v>8.6</v>
      </c>
      <c r="M12" s="9">
        <v>0.20283018867924527</v>
      </c>
    </row>
    <row r="13" spans="1:13" x14ac:dyDescent="0.25">
      <c r="A13" t="s">
        <v>56</v>
      </c>
      <c r="B13" s="3">
        <v>2013</v>
      </c>
      <c r="C13" t="s">
        <v>186</v>
      </c>
      <c r="D13">
        <v>28</v>
      </c>
      <c r="E13" t="s">
        <v>67</v>
      </c>
      <c r="F13">
        <v>80</v>
      </c>
      <c r="G13">
        <v>35.299999999999997</v>
      </c>
      <c r="H13">
        <f>IF(DPOY12[[#This Row],[MP]]&gt;100,DPOY12[[#This Row],[MP]]/10,DPOY12[[#This Row],[MP]])</f>
        <v>35.299999999999997</v>
      </c>
      <c r="I13">
        <v>11.3</v>
      </c>
      <c r="J13">
        <v>1.2</v>
      </c>
      <c r="K13">
        <v>1.5</v>
      </c>
      <c r="L13" s="8">
        <v>11.2</v>
      </c>
      <c r="M13" s="9">
        <v>0.19036827195467418</v>
      </c>
    </row>
    <row r="14" spans="1:13" x14ac:dyDescent="0.25">
      <c r="A14" t="s">
        <v>59</v>
      </c>
      <c r="B14" s="3">
        <v>2012</v>
      </c>
      <c r="C14" t="s">
        <v>187</v>
      </c>
      <c r="D14">
        <v>28</v>
      </c>
      <c r="E14" t="s">
        <v>181</v>
      </c>
      <c r="F14">
        <v>80</v>
      </c>
      <c r="G14">
        <v>35</v>
      </c>
      <c r="H14">
        <f>IF(DPOY12[[#This Row],[MP]]&gt;100,DPOY12[[#This Row],[MP]]/10,DPOY12[[#This Row],[MP]])</f>
        <v>35</v>
      </c>
      <c r="I14">
        <v>7.8</v>
      </c>
      <c r="J14">
        <v>1</v>
      </c>
      <c r="K14">
        <v>1.7</v>
      </c>
      <c r="L14" s="8">
        <v>11.5</v>
      </c>
      <c r="M14" s="9">
        <v>0.19714285714285715</v>
      </c>
    </row>
    <row r="15" spans="1:13" x14ac:dyDescent="0.25">
      <c r="A15" t="s">
        <v>63</v>
      </c>
      <c r="B15" s="3">
        <v>2011</v>
      </c>
      <c r="C15" t="s">
        <v>188</v>
      </c>
      <c r="D15">
        <v>29</v>
      </c>
      <c r="E15" t="s">
        <v>189</v>
      </c>
      <c r="F15">
        <v>62</v>
      </c>
      <c r="G15">
        <v>33.200000000000003</v>
      </c>
      <c r="H15">
        <f>IF(DPOY12[[#This Row],[MP]]&gt;100,DPOY12[[#This Row],[MP]]/10,DPOY12[[#This Row],[MP]])</f>
        <v>33.200000000000003</v>
      </c>
      <c r="I15">
        <v>9.9</v>
      </c>
      <c r="J15">
        <v>0.9</v>
      </c>
      <c r="K15">
        <v>1.4</v>
      </c>
      <c r="L15" s="8">
        <v>9.5</v>
      </c>
      <c r="M15" s="9">
        <v>0.22153128643606684</v>
      </c>
    </row>
    <row r="16" spans="1:13" x14ac:dyDescent="0.25">
      <c r="A16" t="s">
        <v>65</v>
      </c>
      <c r="B16" s="3">
        <v>2010</v>
      </c>
      <c r="C16" t="s">
        <v>190</v>
      </c>
      <c r="D16">
        <v>25</v>
      </c>
      <c r="E16" t="s">
        <v>191</v>
      </c>
      <c r="F16">
        <v>78</v>
      </c>
      <c r="G16">
        <v>37.6</v>
      </c>
      <c r="H16">
        <f>IF(DPOY12[[#This Row],[MP]]&gt;100,DPOY12[[#This Row],[MP]]/10,DPOY12[[#This Row],[MP]])</f>
        <v>37.6</v>
      </c>
      <c r="I16">
        <v>14.1</v>
      </c>
      <c r="J16">
        <v>1.4</v>
      </c>
      <c r="K16">
        <v>2.4</v>
      </c>
      <c r="L16" s="8">
        <v>14.4</v>
      </c>
      <c r="M16" s="9">
        <v>0.23567921440261866</v>
      </c>
    </row>
    <row r="17" spans="1:13" x14ac:dyDescent="0.25">
      <c r="A17" t="s">
        <v>69</v>
      </c>
      <c r="B17" s="3">
        <v>2009</v>
      </c>
      <c r="C17" t="s">
        <v>190</v>
      </c>
      <c r="D17">
        <v>24</v>
      </c>
      <c r="E17" t="s">
        <v>191</v>
      </c>
      <c r="F17">
        <v>82</v>
      </c>
      <c r="G17">
        <v>34.700000000000003</v>
      </c>
      <c r="H17">
        <f>IF(DPOY12[[#This Row],[MP]]&gt;100,DPOY12[[#This Row],[MP]]/10,DPOY12[[#This Row],[MP]])</f>
        <v>34.700000000000003</v>
      </c>
      <c r="I17">
        <v>13.2</v>
      </c>
      <c r="J17">
        <v>0.9</v>
      </c>
      <c r="K17">
        <v>2.8</v>
      </c>
      <c r="L17" s="8">
        <v>13.2</v>
      </c>
      <c r="M17" s="9">
        <v>0.22267519505166231</v>
      </c>
    </row>
    <row r="18" spans="1:13" x14ac:dyDescent="0.25">
      <c r="A18" t="s">
        <v>72</v>
      </c>
      <c r="B18" s="3">
        <v>2008</v>
      </c>
      <c r="C18" t="s">
        <v>190</v>
      </c>
      <c r="D18">
        <v>23</v>
      </c>
      <c r="E18" t="s">
        <v>191</v>
      </c>
      <c r="F18">
        <v>79</v>
      </c>
      <c r="G18">
        <v>35.700000000000003</v>
      </c>
      <c r="H18">
        <f>IF(DPOY12[[#This Row],[MP]]&gt;100,DPOY12[[#This Row],[MP]]/10,DPOY12[[#This Row],[MP]])</f>
        <v>35.700000000000003</v>
      </c>
      <c r="I18">
        <v>13.8</v>
      </c>
      <c r="J18">
        <v>1</v>
      </c>
      <c r="K18">
        <v>2.9</v>
      </c>
      <c r="L18" s="8">
        <v>13.8</v>
      </c>
      <c r="M18" s="9">
        <v>0.23486863099670249</v>
      </c>
    </row>
    <row r="19" spans="1:13" x14ac:dyDescent="0.25">
      <c r="A19" t="s">
        <v>74</v>
      </c>
      <c r="B19" s="3">
        <v>2007</v>
      </c>
      <c r="C19" t="s">
        <v>88</v>
      </c>
      <c r="D19">
        <v>31</v>
      </c>
      <c r="E19" t="s">
        <v>183</v>
      </c>
      <c r="F19">
        <v>71</v>
      </c>
      <c r="G19">
        <v>32.799999999999997</v>
      </c>
      <c r="H19">
        <f>IF(DPOY12[[#This Row],[MP]]&gt;100,DPOY12[[#This Row],[MP]]/10,DPOY12[[#This Row],[MP]])</f>
        <v>32.799999999999997</v>
      </c>
      <c r="I19">
        <v>9.1999999999999993</v>
      </c>
      <c r="J19">
        <v>1.4</v>
      </c>
      <c r="K19">
        <v>1.3</v>
      </c>
      <c r="L19" s="8">
        <v>12.9</v>
      </c>
      <c r="M19" s="9">
        <v>0.26588801099278603</v>
      </c>
    </row>
    <row r="20" spans="1:13" x14ac:dyDescent="0.25">
      <c r="A20" t="s">
        <v>78</v>
      </c>
      <c r="B20" s="3">
        <v>2006</v>
      </c>
      <c r="C20" t="s">
        <v>192</v>
      </c>
      <c r="D20">
        <v>32</v>
      </c>
      <c r="E20" t="s">
        <v>32</v>
      </c>
      <c r="F20">
        <v>70</v>
      </c>
      <c r="G20">
        <v>33.799999999999997</v>
      </c>
      <c r="H20">
        <f>IF(DPOY12[[#This Row],[MP]]&gt;100,DPOY12[[#This Row],[MP]]/10,DPOY12[[#This Row],[MP]])</f>
        <v>33.799999999999997</v>
      </c>
      <c r="I20">
        <v>11.7</v>
      </c>
      <c r="J20">
        <v>1.2</v>
      </c>
      <c r="K20">
        <v>3.3</v>
      </c>
      <c r="L20" s="8">
        <v>7.6</v>
      </c>
      <c r="M20" s="9">
        <v>0.15418427726120032</v>
      </c>
    </row>
    <row r="21" spans="1:13" x14ac:dyDescent="0.25">
      <c r="A21" t="s">
        <v>82</v>
      </c>
      <c r="B21" s="3">
        <v>2005</v>
      </c>
      <c r="C21" t="s">
        <v>193</v>
      </c>
      <c r="D21">
        <v>31</v>
      </c>
      <c r="E21" t="s">
        <v>194</v>
      </c>
      <c r="F21">
        <v>82</v>
      </c>
      <c r="G21">
        <v>35.200000000000003</v>
      </c>
      <c r="H21">
        <f>IF(DPOY12[[#This Row],[MP]]&gt;100,DPOY12[[#This Row],[MP]]/10,DPOY12[[#This Row],[MP]])</f>
        <v>35.200000000000003</v>
      </c>
      <c r="I21">
        <v>11.3</v>
      </c>
      <c r="J21">
        <v>1.8</v>
      </c>
      <c r="K21">
        <v>2.2000000000000002</v>
      </c>
      <c r="L21" s="8">
        <v>10.1</v>
      </c>
      <c r="M21" s="9">
        <v>0.16796008869179599</v>
      </c>
    </row>
    <row r="22" spans="1:13" x14ac:dyDescent="0.25">
      <c r="A22" t="s">
        <v>85</v>
      </c>
      <c r="B22" s="3">
        <v>2004</v>
      </c>
      <c r="C22" t="s">
        <v>193</v>
      </c>
      <c r="D22">
        <v>30</v>
      </c>
      <c r="E22" t="s">
        <v>194</v>
      </c>
      <c r="F22">
        <v>74</v>
      </c>
      <c r="G22">
        <v>36.1</v>
      </c>
      <c r="H22">
        <f>IF(DPOY12[[#This Row],[MP]]&gt;100,DPOY12[[#This Row],[MP]]/10,DPOY12[[#This Row],[MP]])</f>
        <v>36.1</v>
      </c>
      <c r="I22">
        <v>12.2</v>
      </c>
      <c r="J22">
        <v>1.4</v>
      </c>
      <c r="K22">
        <v>2.4</v>
      </c>
      <c r="L22" s="8">
        <v>8.5</v>
      </c>
      <c r="M22" s="9">
        <v>0.15272890619151006</v>
      </c>
    </row>
    <row r="23" spans="1:13" x14ac:dyDescent="0.25">
      <c r="A23" t="s">
        <v>87</v>
      </c>
      <c r="B23" s="3">
        <v>2003</v>
      </c>
      <c r="C23" t="s">
        <v>195</v>
      </c>
      <c r="D23">
        <v>24</v>
      </c>
      <c r="E23" t="s">
        <v>196</v>
      </c>
      <c r="F23">
        <v>73</v>
      </c>
      <c r="G23">
        <v>37.200000000000003</v>
      </c>
      <c r="H23">
        <f>IF(DPOY12[[#This Row],[MP]]&gt;100,DPOY12[[#This Row],[MP]]/10,DPOY12[[#This Row],[MP]])</f>
        <v>37.200000000000003</v>
      </c>
      <c r="I23">
        <v>5.3</v>
      </c>
      <c r="J23">
        <v>2.1</v>
      </c>
      <c r="K23">
        <v>0.7</v>
      </c>
      <c r="L23" s="8">
        <v>8</v>
      </c>
      <c r="M23" s="9">
        <v>0.14140521431727793</v>
      </c>
    </row>
    <row r="24" spans="1:13" x14ac:dyDescent="0.25">
      <c r="A24" t="s">
        <v>91</v>
      </c>
      <c r="B24" s="3">
        <v>2002</v>
      </c>
      <c r="C24" t="s">
        <v>193</v>
      </c>
      <c r="D24">
        <v>28</v>
      </c>
      <c r="E24" t="s">
        <v>194</v>
      </c>
      <c r="F24">
        <v>73</v>
      </c>
      <c r="G24">
        <v>39.4</v>
      </c>
      <c r="H24">
        <f>IF(DPOY12[[#This Row],[MP]]&gt;100,DPOY12[[#This Row],[MP]]/10,DPOY12[[#This Row],[MP]])</f>
        <v>39.4</v>
      </c>
      <c r="I24">
        <v>15.4</v>
      </c>
      <c r="J24">
        <v>1.4</v>
      </c>
      <c r="K24">
        <v>3.2</v>
      </c>
      <c r="L24" s="8">
        <v>10.6</v>
      </c>
      <c r="M24" s="9">
        <v>0.17690007648981293</v>
      </c>
    </row>
    <row r="25" spans="1:13" x14ac:dyDescent="0.25">
      <c r="A25" t="s">
        <v>95</v>
      </c>
      <c r="B25" s="3">
        <v>2001</v>
      </c>
      <c r="C25" t="s">
        <v>193</v>
      </c>
      <c r="D25">
        <v>27</v>
      </c>
      <c r="E25" t="s">
        <v>194</v>
      </c>
      <c r="F25">
        <v>80</v>
      </c>
      <c r="G25">
        <v>36.5</v>
      </c>
      <c r="H25">
        <f>IF(DPOY12[[#This Row],[MP]]&gt;100,DPOY12[[#This Row],[MP]]/10,DPOY12[[#This Row],[MP]])</f>
        <v>36.5</v>
      </c>
      <c r="I25">
        <v>13</v>
      </c>
      <c r="J25">
        <v>1.7</v>
      </c>
      <c r="K25">
        <v>3.5</v>
      </c>
      <c r="L25" s="8">
        <v>11.6</v>
      </c>
      <c r="M25" s="9">
        <v>0.19068493150684929</v>
      </c>
    </row>
    <row r="26" spans="1:13" x14ac:dyDescent="0.25">
      <c r="A26" t="s">
        <v>97</v>
      </c>
      <c r="B26" s="3">
        <v>2000</v>
      </c>
      <c r="C26" t="s">
        <v>197</v>
      </c>
      <c r="D26">
        <v>34</v>
      </c>
      <c r="E26" t="s">
        <v>198</v>
      </c>
      <c r="F26">
        <v>75</v>
      </c>
      <c r="G26">
        <v>34.5</v>
      </c>
      <c r="H26">
        <f>IF(DPOY12[[#This Row],[MP]]&gt;100,DPOY12[[#This Row],[MP]]/10,DPOY12[[#This Row],[MP]])</f>
        <v>34.5</v>
      </c>
      <c r="I26">
        <v>13.5</v>
      </c>
      <c r="J26">
        <v>0.4</v>
      </c>
      <c r="K26">
        <v>2.7</v>
      </c>
      <c r="L26" s="8">
        <v>8.1</v>
      </c>
      <c r="M26" s="9">
        <v>0.15026086956521736</v>
      </c>
    </row>
    <row r="27" spans="1:13" x14ac:dyDescent="0.25">
      <c r="A27" t="s">
        <v>100</v>
      </c>
      <c r="B27" s="3">
        <v>1999</v>
      </c>
      <c r="C27" t="s">
        <v>199</v>
      </c>
      <c r="D27">
        <v>29</v>
      </c>
      <c r="E27" t="s">
        <v>61</v>
      </c>
      <c r="F27">
        <v>79</v>
      </c>
      <c r="G27">
        <v>34.799999999999997</v>
      </c>
      <c r="H27">
        <f>IF(DPOY12[[#This Row],[MP]]&gt;100,DPOY12[[#This Row],[MP]]/10,DPOY12[[#This Row],[MP]])</f>
        <v>34.799999999999997</v>
      </c>
      <c r="I27">
        <v>9.5</v>
      </c>
      <c r="J27">
        <v>0.5</v>
      </c>
      <c r="K27">
        <v>3.7</v>
      </c>
      <c r="L27" s="8">
        <v>12.9</v>
      </c>
      <c r="M27" s="9">
        <v>0.22522915757311221</v>
      </c>
    </row>
    <row r="28" spans="1:13" x14ac:dyDescent="0.25">
      <c r="A28" t="s">
        <v>103</v>
      </c>
      <c r="B28" s="3">
        <v>1998</v>
      </c>
      <c r="C28" t="s">
        <v>199</v>
      </c>
      <c r="D28">
        <v>28</v>
      </c>
      <c r="E28" t="s">
        <v>61</v>
      </c>
      <c r="F28">
        <v>46</v>
      </c>
      <c r="G28">
        <v>38.1</v>
      </c>
      <c r="H28">
        <f>IF(DPOY12[[#This Row],[MP]]&gt;100,DPOY12[[#This Row],[MP]]/10,DPOY12[[#This Row],[MP]])</f>
        <v>38.1</v>
      </c>
      <c r="I28">
        <v>11</v>
      </c>
      <c r="J28">
        <v>0.7</v>
      </c>
      <c r="K28">
        <v>3.9</v>
      </c>
      <c r="L28" s="8">
        <v>7.9</v>
      </c>
      <c r="M28" s="9">
        <v>0.21636425881547416</v>
      </c>
    </row>
    <row r="29" spans="1:13" x14ac:dyDescent="0.25">
      <c r="A29" t="s">
        <v>106</v>
      </c>
      <c r="B29" s="3">
        <v>1997</v>
      </c>
      <c r="C29" t="s">
        <v>197</v>
      </c>
      <c r="D29">
        <v>31</v>
      </c>
      <c r="E29" t="s">
        <v>200</v>
      </c>
      <c r="F29">
        <v>82</v>
      </c>
      <c r="G29">
        <v>35.6</v>
      </c>
      <c r="H29">
        <f>IF(DPOY12[[#This Row],[MP]]&gt;100,DPOY12[[#This Row],[MP]]/10,DPOY12[[#This Row],[MP]])</f>
        <v>35.6</v>
      </c>
      <c r="I29">
        <v>11.4</v>
      </c>
      <c r="J29">
        <v>0.4</v>
      </c>
      <c r="K29">
        <v>3.4</v>
      </c>
      <c r="L29" s="8">
        <v>10.8</v>
      </c>
      <c r="M29" s="9">
        <v>0.17758289942449987</v>
      </c>
    </row>
    <row r="30" spans="1:13" x14ac:dyDescent="0.25">
      <c r="A30" t="s">
        <v>109</v>
      </c>
      <c r="B30" s="3">
        <v>1996</v>
      </c>
      <c r="C30" t="s">
        <v>197</v>
      </c>
      <c r="D30">
        <v>30</v>
      </c>
      <c r="E30" t="s">
        <v>200</v>
      </c>
      <c r="F30">
        <v>80</v>
      </c>
      <c r="G30">
        <v>37.200000000000003</v>
      </c>
      <c r="H30">
        <f>IF(DPOY12[[#This Row],[MP]]&gt;100,DPOY12[[#This Row],[MP]]/10,DPOY12[[#This Row],[MP]])</f>
        <v>37.200000000000003</v>
      </c>
      <c r="I30">
        <v>11.6</v>
      </c>
      <c r="J30">
        <v>0.6</v>
      </c>
      <c r="K30">
        <v>3.3</v>
      </c>
      <c r="L30" s="8">
        <v>11.3</v>
      </c>
      <c r="M30" s="9">
        <v>0.18225806451612905</v>
      </c>
    </row>
    <row r="31" spans="1:13" x14ac:dyDescent="0.25">
      <c r="A31" t="s">
        <v>111</v>
      </c>
      <c r="B31" s="3">
        <v>1995</v>
      </c>
      <c r="C31" t="s">
        <v>201</v>
      </c>
      <c r="D31">
        <v>27</v>
      </c>
      <c r="E31" t="s">
        <v>202</v>
      </c>
      <c r="F31">
        <v>81</v>
      </c>
      <c r="G31">
        <v>39</v>
      </c>
      <c r="H31">
        <f>IF(DPOY12[[#This Row],[MP]]&gt;100,DPOY12[[#This Row],[MP]]/10,DPOY12[[#This Row],[MP]])</f>
        <v>39</v>
      </c>
      <c r="I31">
        <v>4.2</v>
      </c>
      <c r="J31">
        <v>2.9</v>
      </c>
      <c r="K31">
        <v>0.2</v>
      </c>
      <c r="L31" s="8">
        <v>11.5</v>
      </c>
      <c r="M31" s="9">
        <v>0.17473884140550808</v>
      </c>
    </row>
    <row r="32" spans="1:13" x14ac:dyDescent="0.25">
      <c r="A32" t="s">
        <v>112</v>
      </c>
      <c r="B32" s="3">
        <v>1994</v>
      </c>
      <c r="C32" t="s">
        <v>197</v>
      </c>
      <c r="D32">
        <v>28</v>
      </c>
      <c r="E32" t="s">
        <v>32</v>
      </c>
      <c r="F32">
        <v>82</v>
      </c>
      <c r="G32">
        <v>37.799999999999997</v>
      </c>
      <c r="H32">
        <f>IF(DPOY12[[#This Row],[MP]]&gt;100,DPOY12[[#This Row],[MP]]/10,DPOY12[[#This Row],[MP]])</f>
        <v>37.799999999999997</v>
      </c>
      <c r="I32">
        <v>12.5</v>
      </c>
      <c r="J32">
        <v>0.5</v>
      </c>
      <c r="K32">
        <v>3.9</v>
      </c>
      <c r="L32" s="8">
        <v>8.6999999999999993</v>
      </c>
      <c r="M32" s="9">
        <v>0.13472706155632985</v>
      </c>
    </row>
    <row r="33" spans="1:13" x14ac:dyDescent="0.25">
      <c r="A33" t="s">
        <v>115</v>
      </c>
      <c r="B33" s="3">
        <v>1993</v>
      </c>
      <c r="C33" t="s">
        <v>116</v>
      </c>
      <c r="D33">
        <v>31</v>
      </c>
      <c r="E33" t="s">
        <v>48</v>
      </c>
      <c r="F33">
        <v>80</v>
      </c>
      <c r="G33">
        <v>41</v>
      </c>
      <c r="H33">
        <f>IF(DPOY12[[#This Row],[MP]]&gt;100,DPOY12[[#This Row],[MP]]/10,DPOY12[[#This Row],[MP]])</f>
        <v>41</v>
      </c>
      <c r="I33">
        <v>11.9</v>
      </c>
      <c r="J33">
        <v>1.6</v>
      </c>
      <c r="K33">
        <v>3.7</v>
      </c>
      <c r="L33" s="8">
        <v>14.3</v>
      </c>
      <c r="M33" s="9">
        <v>0.20926829268292685</v>
      </c>
    </row>
    <row r="34" spans="1:13" x14ac:dyDescent="0.25">
      <c r="A34" t="s">
        <v>118</v>
      </c>
      <c r="B34" s="3">
        <v>1992</v>
      </c>
      <c r="C34" t="s">
        <v>116</v>
      </c>
      <c r="D34">
        <v>30</v>
      </c>
      <c r="E34" t="s">
        <v>48</v>
      </c>
      <c r="F34">
        <v>82</v>
      </c>
      <c r="G34">
        <v>39.5</v>
      </c>
      <c r="H34">
        <f>IF(DPOY12[[#This Row],[MP]]&gt;100,DPOY12[[#This Row],[MP]]/10,DPOY12[[#This Row],[MP]])</f>
        <v>39.5</v>
      </c>
      <c r="I34">
        <v>13</v>
      </c>
      <c r="J34">
        <v>1.8</v>
      </c>
      <c r="K34">
        <v>4.2</v>
      </c>
      <c r="L34" s="8">
        <v>15.8</v>
      </c>
      <c r="M34" s="9">
        <v>0.23414634146341468</v>
      </c>
    </row>
    <row r="35" spans="1:13" x14ac:dyDescent="0.25">
      <c r="A35" t="s">
        <v>121</v>
      </c>
      <c r="B35" s="3">
        <v>1991</v>
      </c>
      <c r="C35" t="s">
        <v>113</v>
      </c>
      <c r="D35">
        <v>26</v>
      </c>
      <c r="E35" t="s">
        <v>93</v>
      </c>
      <c r="F35">
        <v>68</v>
      </c>
      <c r="G35">
        <v>37.700000000000003</v>
      </c>
      <c r="H35">
        <f>IF(DPOY12[[#This Row],[MP]]&gt;100,DPOY12[[#This Row],[MP]]/10,DPOY12[[#This Row],[MP]])</f>
        <v>37.700000000000003</v>
      </c>
      <c r="I35">
        <v>12.2</v>
      </c>
      <c r="J35">
        <v>2.2999999999999998</v>
      </c>
      <c r="K35">
        <v>4.5</v>
      </c>
      <c r="L35" s="8">
        <v>13.9</v>
      </c>
      <c r="M35" s="9">
        <v>0.26025901076611013</v>
      </c>
    </row>
    <row r="36" spans="1:13" x14ac:dyDescent="0.25">
      <c r="A36" t="s">
        <v>122</v>
      </c>
      <c r="B36" s="3">
        <v>1990</v>
      </c>
      <c r="C36" t="s">
        <v>203</v>
      </c>
      <c r="D36">
        <v>29</v>
      </c>
      <c r="E36" t="s">
        <v>194</v>
      </c>
      <c r="F36">
        <v>82</v>
      </c>
      <c r="G36">
        <v>33.5</v>
      </c>
      <c r="H36">
        <f>IF(DPOY12[[#This Row],[MP]]&gt;100,DPOY12[[#This Row],[MP]]/10,DPOY12[[#This Row],[MP]])</f>
        <v>33.5</v>
      </c>
      <c r="I36">
        <v>12.5</v>
      </c>
      <c r="J36">
        <v>0.8</v>
      </c>
      <c r="K36">
        <v>0.7</v>
      </c>
      <c r="L36" s="8">
        <v>8.6999999999999993</v>
      </c>
      <c r="M36" s="9">
        <v>0.15202038587550054</v>
      </c>
    </row>
    <row r="37" spans="1:13" x14ac:dyDescent="0.25">
      <c r="A37" t="s">
        <v>124</v>
      </c>
      <c r="B37" s="3">
        <v>1989</v>
      </c>
      <c r="C37" t="s">
        <v>203</v>
      </c>
      <c r="D37">
        <v>28</v>
      </c>
      <c r="E37" t="s">
        <v>194</v>
      </c>
      <c r="F37">
        <v>82</v>
      </c>
      <c r="G37">
        <v>29</v>
      </c>
      <c r="H37">
        <f>IF(DPOY12[[#This Row],[MP]]&gt;100,DPOY12[[#This Row],[MP]]/10,DPOY12[[#This Row],[MP]])</f>
        <v>29</v>
      </c>
      <c r="I37">
        <v>9.6999999999999993</v>
      </c>
      <c r="J37">
        <v>0.6</v>
      </c>
      <c r="K37">
        <v>0.7</v>
      </c>
      <c r="L37" s="8">
        <v>9.3000000000000007</v>
      </c>
      <c r="M37" s="9">
        <v>0.18772077375946175</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44611-C2D2-4783-8F80-A0DA44657A4B}">
  <dimension ref="A1:M37"/>
  <sheetViews>
    <sheetView workbookViewId="0">
      <selection activeCell="I38" sqref="I38"/>
    </sheetView>
  </sheetViews>
  <sheetFormatPr defaultRowHeight="15" x14ac:dyDescent="0.25"/>
  <cols>
    <col min="1" max="1" width="9.5703125" bestFit="1" customWidth="1"/>
    <col min="2" max="2" width="9.5703125" style="3" customWidth="1"/>
    <col min="3" max="3" width="23" bestFit="1" customWidth="1"/>
    <col min="4" max="4" width="6.7109375" bestFit="1" customWidth="1"/>
    <col min="5" max="5" width="8.140625" bestFit="1" customWidth="1"/>
    <col min="6" max="6" width="4.7109375" bestFit="1" customWidth="1"/>
    <col min="7" max="7" width="6.28515625" bestFit="1" customWidth="1"/>
    <col min="8" max="8" width="14.5703125" bestFit="1" customWidth="1"/>
    <col min="9" max="9" width="6.5703125" bestFit="1" customWidth="1"/>
    <col min="10" max="10" width="6.140625" bestFit="1" customWidth="1"/>
    <col min="11" max="11" width="6.42578125" bestFit="1" customWidth="1"/>
    <col min="12" max="12" width="6.28515625" bestFit="1" customWidth="1"/>
    <col min="13" max="13" width="9.140625" style="7"/>
  </cols>
  <sheetData>
    <row r="1" spans="1:13" x14ac:dyDescent="0.25">
      <c r="A1" t="s">
        <v>7</v>
      </c>
      <c r="B1" s="3" t="s">
        <v>127</v>
      </c>
      <c r="C1" t="s">
        <v>9</v>
      </c>
      <c r="D1" t="s">
        <v>10</v>
      </c>
      <c r="E1" t="s">
        <v>177</v>
      </c>
      <c r="F1" t="s">
        <v>12</v>
      </c>
      <c r="G1" t="s">
        <v>13</v>
      </c>
      <c r="H1" t="s">
        <v>206</v>
      </c>
      <c r="I1" t="s">
        <v>15</v>
      </c>
      <c r="J1" t="s">
        <v>17</v>
      </c>
      <c r="K1" t="s">
        <v>18</v>
      </c>
      <c r="L1" t="s">
        <v>22</v>
      </c>
      <c r="M1" t="s">
        <v>23</v>
      </c>
    </row>
    <row r="2" spans="1:13" x14ac:dyDescent="0.25">
      <c r="A2" t="s">
        <v>24</v>
      </c>
      <c r="B2" s="3">
        <v>2024</v>
      </c>
      <c r="C2" t="s">
        <v>178</v>
      </c>
      <c r="D2">
        <v>23</v>
      </c>
      <c r="E2" t="s">
        <v>70</v>
      </c>
      <c r="F2">
        <v>71</v>
      </c>
      <c r="G2">
        <v>30.5</v>
      </c>
      <c r="H2">
        <f>IF(DPOY[[#This Row],[MP]]&gt;100,DPOY[[#This Row],[MP]]/10,DPOY[[#This Row],[MP]])</f>
        <v>30.5</v>
      </c>
      <c r="I2">
        <v>9.3000000000000007</v>
      </c>
      <c r="J2">
        <v>0.9</v>
      </c>
      <c r="K2">
        <v>1.6</v>
      </c>
      <c r="L2" s="8">
        <v>9</v>
      </c>
      <c r="M2" s="9">
        <v>0.19949203417224659</v>
      </c>
    </row>
    <row r="3" spans="1:13" x14ac:dyDescent="0.25">
      <c r="A3" t="s">
        <v>30</v>
      </c>
      <c r="B3" s="3">
        <v>2023</v>
      </c>
      <c r="C3" t="s">
        <v>179</v>
      </c>
      <c r="D3">
        <v>31</v>
      </c>
      <c r="E3" t="s">
        <v>89</v>
      </c>
      <c r="F3">
        <v>76</v>
      </c>
      <c r="G3">
        <v>34.1</v>
      </c>
      <c r="H3">
        <f>IF(DPOY[[#This Row],[MP]]&gt;100,DPOY[[#This Row],[MP]]/10,DPOY[[#This Row],[MP]])</f>
        <v>34.1</v>
      </c>
      <c r="I3">
        <v>12.9</v>
      </c>
      <c r="J3">
        <v>0.7</v>
      </c>
      <c r="K3">
        <v>2.1</v>
      </c>
      <c r="L3" s="8">
        <v>11.6</v>
      </c>
      <c r="M3" s="9">
        <v>0.21484797036579717</v>
      </c>
    </row>
    <row r="4" spans="1:13" x14ac:dyDescent="0.25">
      <c r="A4" t="s">
        <v>34</v>
      </c>
      <c r="B4" s="3">
        <v>2022</v>
      </c>
      <c r="C4" t="s">
        <v>180</v>
      </c>
      <c r="D4">
        <v>23</v>
      </c>
      <c r="E4" t="s">
        <v>181</v>
      </c>
      <c r="F4">
        <v>63</v>
      </c>
      <c r="G4">
        <v>28.4</v>
      </c>
      <c r="H4">
        <f>IF(DPOY[[#This Row],[MP]]&gt;100,DPOY[[#This Row],[MP]]/10,DPOY[[#This Row],[MP]])</f>
        <v>28.4</v>
      </c>
      <c r="I4">
        <v>6.8</v>
      </c>
      <c r="J4">
        <v>1</v>
      </c>
      <c r="K4">
        <v>3</v>
      </c>
      <c r="L4" s="8">
        <v>6.6</v>
      </c>
      <c r="M4" s="9">
        <v>0.17706237424547283</v>
      </c>
    </row>
    <row r="5" spans="1:13" x14ac:dyDescent="0.25">
      <c r="A5" t="s">
        <v>37</v>
      </c>
      <c r="B5" s="3">
        <v>2021</v>
      </c>
      <c r="C5" t="s">
        <v>182</v>
      </c>
      <c r="D5">
        <v>27</v>
      </c>
      <c r="E5" t="s">
        <v>183</v>
      </c>
      <c r="F5">
        <v>71</v>
      </c>
      <c r="G5">
        <v>32.299999999999997</v>
      </c>
      <c r="H5">
        <f>IF(DPOY[[#This Row],[MP]]&gt;100,DPOY[[#This Row],[MP]]/10,DPOY[[#This Row],[MP]])</f>
        <v>32.299999999999997</v>
      </c>
      <c r="I5">
        <v>3.8</v>
      </c>
      <c r="J5">
        <v>1.7</v>
      </c>
      <c r="K5">
        <v>0.3</v>
      </c>
      <c r="L5" s="8">
        <v>5.6</v>
      </c>
      <c r="M5" s="9">
        <v>0.11721100597392403</v>
      </c>
    </row>
    <row r="6" spans="1:13" x14ac:dyDescent="0.25">
      <c r="A6" t="s">
        <v>39</v>
      </c>
      <c r="B6" s="3">
        <v>2020</v>
      </c>
      <c r="C6" t="s">
        <v>179</v>
      </c>
      <c r="D6">
        <v>28</v>
      </c>
      <c r="E6" t="s">
        <v>105</v>
      </c>
      <c r="F6">
        <v>71</v>
      </c>
      <c r="G6">
        <v>30.8</v>
      </c>
      <c r="H6">
        <f>IF(DPOY[[#This Row],[MP]]&gt;100,DPOY[[#This Row],[MP]]/10,DPOY[[#This Row],[MP]])</f>
        <v>30.8</v>
      </c>
      <c r="I6">
        <v>13.5</v>
      </c>
      <c r="J6">
        <v>0.6</v>
      </c>
      <c r="K6">
        <v>2.7</v>
      </c>
      <c r="L6" s="8">
        <v>11.3</v>
      </c>
      <c r="M6" s="9">
        <v>0.24803365648436074</v>
      </c>
    </row>
    <row r="7" spans="1:13" x14ac:dyDescent="0.25">
      <c r="A7" t="s">
        <v>40</v>
      </c>
      <c r="B7" s="3">
        <v>2019</v>
      </c>
      <c r="C7" t="s">
        <v>41</v>
      </c>
      <c r="D7">
        <v>25</v>
      </c>
      <c r="E7" t="s">
        <v>42</v>
      </c>
      <c r="F7">
        <v>63</v>
      </c>
      <c r="G7">
        <v>30.4</v>
      </c>
      <c r="H7">
        <f>IF(DPOY[[#This Row],[MP]]&gt;100,DPOY[[#This Row],[MP]]/10,DPOY[[#This Row],[MP]])</f>
        <v>30.4</v>
      </c>
      <c r="I7">
        <v>13.6</v>
      </c>
      <c r="J7">
        <v>1</v>
      </c>
      <c r="K7">
        <v>1</v>
      </c>
      <c r="L7" s="8">
        <v>11.1</v>
      </c>
      <c r="M7" s="9">
        <v>0.2781954887218045</v>
      </c>
    </row>
    <row r="8" spans="1:13" x14ac:dyDescent="0.25">
      <c r="A8" t="s">
        <v>44</v>
      </c>
      <c r="B8" s="3">
        <v>2018</v>
      </c>
      <c r="C8" t="s">
        <v>179</v>
      </c>
      <c r="D8">
        <v>26</v>
      </c>
      <c r="E8" t="s">
        <v>105</v>
      </c>
      <c r="F8">
        <v>81</v>
      </c>
      <c r="G8">
        <v>31.8</v>
      </c>
      <c r="H8">
        <f>IF(DPOY[[#This Row],[MP]]&gt;100,DPOY[[#This Row],[MP]]/10,DPOY[[#This Row],[MP]])</f>
        <v>31.8</v>
      </c>
      <c r="I8">
        <v>12.9</v>
      </c>
      <c r="J8">
        <v>0.8</v>
      </c>
      <c r="K8">
        <v>2.2999999999999998</v>
      </c>
      <c r="L8" s="8">
        <v>14.4</v>
      </c>
      <c r="M8" s="9">
        <v>0.26834381551362685</v>
      </c>
    </row>
    <row r="9" spans="1:13" x14ac:dyDescent="0.25">
      <c r="A9" t="s">
        <v>46</v>
      </c>
      <c r="B9" s="3">
        <v>2017</v>
      </c>
      <c r="C9" t="s">
        <v>179</v>
      </c>
      <c r="D9">
        <v>25</v>
      </c>
      <c r="E9" t="s">
        <v>105</v>
      </c>
      <c r="F9">
        <v>56</v>
      </c>
      <c r="G9">
        <v>32.4</v>
      </c>
      <c r="H9">
        <f>IF(DPOY[[#This Row],[MP]]&gt;100,DPOY[[#This Row],[MP]]/10,DPOY[[#This Row],[MP]])</f>
        <v>32.4</v>
      </c>
      <c r="I9">
        <v>10.7</v>
      </c>
      <c r="J9">
        <v>0.8</v>
      </c>
      <c r="K9">
        <v>2.2999999999999998</v>
      </c>
      <c r="L9" s="8">
        <v>8.1</v>
      </c>
      <c r="M9" s="9">
        <v>0.21428571428571427</v>
      </c>
    </row>
    <row r="10" spans="1:13" x14ac:dyDescent="0.25">
      <c r="A10" t="s">
        <v>50</v>
      </c>
      <c r="B10" s="3">
        <v>2016</v>
      </c>
      <c r="C10" t="s">
        <v>184</v>
      </c>
      <c r="D10">
        <v>26</v>
      </c>
      <c r="E10" t="s">
        <v>54</v>
      </c>
      <c r="F10">
        <v>76</v>
      </c>
      <c r="G10">
        <v>32.5</v>
      </c>
      <c r="H10">
        <f>IF(DPOY[[#This Row],[MP]]&gt;100,DPOY[[#This Row],[MP]]/10,DPOY[[#This Row],[MP]])</f>
        <v>32.5</v>
      </c>
      <c r="I10">
        <v>7.9</v>
      </c>
      <c r="J10">
        <v>2</v>
      </c>
      <c r="K10">
        <v>1.4</v>
      </c>
      <c r="L10" s="8">
        <v>8.1999999999999993</v>
      </c>
      <c r="M10" s="9">
        <v>0.15935222672064775</v>
      </c>
    </row>
    <row r="11" spans="1:13" x14ac:dyDescent="0.25">
      <c r="A11" t="s">
        <v>52</v>
      </c>
      <c r="B11" s="3">
        <v>2015</v>
      </c>
      <c r="C11" t="s">
        <v>185</v>
      </c>
      <c r="D11">
        <v>24</v>
      </c>
      <c r="E11" t="s">
        <v>93</v>
      </c>
      <c r="F11">
        <v>72</v>
      </c>
      <c r="G11">
        <v>33.1</v>
      </c>
      <c r="H11">
        <f>IF(DPOY[[#This Row],[MP]]&gt;100,DPOY[[#This Row],[MP]]/10,DPOY[[#This Row],[MP]])</f>
        <v>33.1</v>
      </c>
      <c r="I11">
        <v>6.8</v>
      </c>
      <c r="J11">
        <v>1.8</v>
      </c>
      <c r="K11">
        <v>1</v>
      </c>
      <c r="L11" s="8">
        <v>13.7</v>
      </c>
      <c r="M11" s="9">
        <v>0.27593152064451149</v>
      </c>
    </row>
    <row r="12" spans="1:13" x14ac:dyDescent="0.25">
      <c r="A12" t="s">
        <v>55</v>
      </c>
      <c r="B12" s="3">
        <v>2014</v>
      </c>
      <c r="C12" t="s">
        <v>185</v>
      </c>
      <c r="D12">
        <v>23</v>
      </c>
      <c r="E12" t="s">
        <v>93</v>
      </c>
      <c r="F12">
        <v>64</v>
      </c>
      <c r="G12">
        <v>31.8</v>
      </c>
      <c r="H12">
        <f>IF(DPOY[[#This Row],[MP]]&gt;100,DPOY[[#This Row],[MP]]/10,DPOY[[#This Row],[MP]])</f>
        <v>31.8</v>
      </c>
      <c r="I12">
        <v>7.2</v>
      </c>
      <c r="J12">
        <v>2.2999999999999998</v>
      </c>
      <c r="K12">
        <v>0.8</v>
      </c>
      <c r="L12" s="8">
        <v>8.6</v>
      </c>
      <c r="M12" s="9">
        <v>0.20283018867924527</v>
      </c>
    </row>
    <row r="13" spans="1:13" x14ac:dyDescent="0.25">
      <c r="A13" t="s">
        <v>56</v>
      </c>
      <c r="B13" s="3">
        <v>2013</v>
      </c>
      <c r="C13" t="s">
        <v>186</v>
      </c>
      <c r="D13">
        <v>28</v>
      </c>
      <c r="E13" t="s">
        <v>67</v>
      </c>
      <c r="F13">
        <v>80</v>
      </c>
      <c r="G13">
        <v>35.299999999999997</v>
      </c>
      <c r="H13">
        <f>IF(DPOY[[#This Row],[MP]]&gt;100,DPOY[[#This Row],[MP]]/10,DPOY[[#This Row],[MP]])</f>
        <v>35.299999999999997</v>
      </c>
      <c r="I13">
        <v>11.3</v>
      </c>
      <c r="J13">
        <v>1.2</v>
      </c>
      <c r="K13">
        <v>1.5</v>
      </c>
      <c r="L13" s="8">
        <v>11.2</v>
      </c>
      <c r="M13" s="9">
        <v>0.19036827195467418</v>
      </c>
    </row>
    <row r="14" spans="1:13" x14ac:dyDescent="0.25">
      <c r="A14" t="s">
        <v>59</v>
      </c>
      <c r="B14" s="3">
        <v>2012</v>
      </c>
      <c r="C14" t="s">
        <v>187</v>
      </c>
      <c r="D14">
        <v>28</v>
      </c>
      <c r="E14" t="s">
        <v>181</v>
      </c>
      <c r="F14">
        <v>80</v>
      </c>
      <c r="G14">
        <v>35</v>
      </c>
      <c r="H14">
        <f>IF(DPOY[[#This Row],[MP]]&gt;100,DPOY[[#This Row],[MP]]/10,DPOY[[#This Row],[MP]])</f>
        <v>35</v>
      </c>
      <c r="I14">
        <v>7.8</v>
      </c>
      <c r="J14">
        <v>1</v>
      </c>
      <c r="K14">
        <v>1.7</v>
      </c>
      <c r="L14" s="8">
        <v>11.5</v>
      </c>
      <c r="M14" s="9">
        <v>0.19714285714285715</v>
      </c>
    </row>
    <row r="15" spans="1:13" x14ac:dyDescent="0.25">
      <c r="A15" t="s">
        <v>63</v>
      </c>
      <c r="B15" s="3">
        <v>2011</v>
      </c>
      <c r="C15" t="s">
        <v>188</v>
      </c>
      <c r="D15">
        <v>29</v>
      </c>
      <c r="E15" t="s">
        <v>189</v>
      </c>
      <c r="F15">
        <v>62</v>
      </c>
      <c r="G15">
        <v>33.200000000000003</v>
      </c>
      <c r="H15">
        <f>IF(DPOY[[#This Row],[MP]]&gt;100,DPOY[[#This Row],[MP]]/10,DPOY[[#This Row],[MP]])</f>
        <v>33.200000000000003</v>
      </c>
      <c r="I15">
        <v>9.9</v>
      </c>
      <c r="J15">
        <v>0.9</v>
      </c>
      <c r="K15">
        <v>1.4</v>
      </c>
      <c r="L15" s="8">
        <v>9.5</v>
      </c>
      <c r="M15" s="9">
        <v>0.22153128643606684</v>
      </c>
    </row>
    <row r="16" spans="1:13" x14ac:dyDescent="0.25">
      <c r="A16" t="s">
        <v>65</v>
      </c>
      <c r="B16" s="3">
        <v>2010</v>
      </c>
      <c r="C16" t="s">
        <v>190</v>
      </c>
      <c r="D16">
        <v>25</v>
      </c>
      <c r="E16" t="s">
        <v>191</v>
      </c>
      <c r="F16">
        <v>78</v>
      </c>
      <c r="G16">
        <v>37.6</v>
      </c>
      <c r="H16">
        <f>IF(DPOY[[#This Row],[MP]]&gt;100,DPOY[[#This Row],[MP]]/10,DPOY[[#This Row],[MP]])</f>
        <v>37.6</v>
      </c>
      <c r="I16">
        <v>14.1</v>
      </c>
      <c r="J16">
        <v>1.4</v>
      </c>
      <c r="K16">
        <v>2.4</v>
      </c>
      <c r="L16" s="8">
        <v>14.4</v>
      </c>
      <c r="M16" s="9">
        <v>0.23567921440261866</v>
      </c>
    </row>
    <row r="17" spans="1:13" x14ac:dyDescent="0.25">
      <c r="A17" t="s">
        <v>69</v>
      </c>
      <c r="B17" s="3">
        <v>2009</v>
      </c>
      <c r="C17" t="s">
        <v>190</v>
      </c>
      <c r="D17">
        <v>24</v>
      </c>
      <c r="E17" t="s">
        <v>191</v>
      </c>
      <c r="F17">
        <v>82</v>
      </c>
      <c r="G17">
        <v>34.700000000000003</v>
      </c>
      <c r="H17">
        <f>IF(DPOY[[#This Row],[MP]]&gt;100,DPOY[[#This Row],[MP]]/10,DPOY[[#This Row],[MP]])</f>
        <v>34.700000000000003</v>
      </c>
      <c r="I17">
        <v>13.2</v>
      </c>
      <c r="J17">
        <v>0.9</v>
      </c>
      <c r="K17">
        <v>2.8</v>
      </c>
      <c r="L17" s="8">
        <v>13.2</v>
      </c>
      <c r="M17" s="9">
        <v>0.22267519505166231</v>
      </c>
    </row>
    <row r="18" spans="1:13" x14ac:dyDescent="0.25">
      <c r="A18" t="s">
        <v>72</v>
      </c>
      <c r="B18" s="3">
        <v>2008</v>
      </c>
      <c r="C18" t="s">
        <v>190</v>
      </c>
      <c r="D18">
        <v>23</v>
      </c>
      <c r="E18" t="s">
        <v>191</v>
      </c>
      <c r="F18">
        <v>79</v>
      </c>
      <c r="G18">
        <v>35.700000000000003</v>
      </c>
      <c r="H18">
        <f>IF(DPOY[[#This Row],[MP]]&gt;100,DPOY[[#This Row],[MP]]/10,DPOY[[#This Row],[MP]])</f>
        <v>35.700000000000003</v>
      </c>
      <c r="I18">
        <v>13.8</v>
      </c>
      <c r="J18">
        <v>1</v>
      </c>
      <c r="K18">
        <v>2.9</v>
      </c>
      <c r="L18" s="8">
        <v>13.8</v>
      </c>
      <c r="M18" s="9">
        <v>0.23486863099670249</v>
      </c>
    </row>
    <row r="19" spans="1:13" x14ac:dyDescent="0.25">
      <c r="A19" t="s">
        <v>74</v>
      </c>
      <c r="B19" s="3">
        <v>2007</v>
      </c>
      <c r="C19" t="s">
        <v>88</v>
      </c>
      <c r="D19">
        <v>31</v>
      </c>
      <c r="E19" t="s">
        <v>183</v>
      </c>
      <c r="F19">
        <v>71</v>
      </c>
      <c r="G19">
        <v>32.799999999999997</v>
      </c>
      <c r="H19">
        <f>IF(DPOY[[#This Row],[MP]]&gt;100,DPOY[[#This Row],[MP]]/10,DPOY[[#This Row],[MP]])</f>
        <v>32.799999999999997</v>
      </c>
      <c r="I19">
        <v>9.1999999999999993</v>
      </c>
      <c r="J19">
        <v>1.4</v>
      </c>
      <c r="K19">
        <v>1.3</v>
      </c>
      <c r="L19" s="8">
        <v>12.9</v>
      </c>
      <c r="M19" s="9">
        <v>0.26588801099278603</v>
      </c>
    </row>
    <row r="20" spans="1:13" x14ac:dyDescent="0.25">
      <c r="A20" t="s">
        <v>78</v>
      </c>
      <c r="B20" s="3">
        <v>2006</v>
      </c>
      <c r="C20" t="s">
        <v>192</v>
      </c>
      <c r="D20">
        <v>32</v>
      </c>
      <c r="E20" t="s">
        <v>32</v>
      </c>
      <c r="F20">
        <v>70</v>
      </c>
      <c r="G20">
        <v>33.799999999999997</v>
      </c>
      <c r="H20">
        <f>IF(DPOY[[#This Row],[MP]]&gt;100,DPOY[[#This Row],[MP]]/10,DPOY[[#This Row],[MP]])</f>
        <v>33.799999999999997</v>
      </c>
      <c r="I20">
        <v>11.7</v>
      </c>
      <c r="J20">
        <v>1.2</v>
      </c>
      <c r="K20">
        <v>3.3</v>
      </c>
      <c r="L20" s="8">
        <v>7.6</v>
      </c>
      <c r="M20" s="9">
        <v>0.15418427726120032</v>
      </c>
    </row>
    <row r="21" spans="1:13" x14ac:dyDescent="0.25">
      <c r="A21" t="s">
        <v>82</v>
      </c>
      <c r="B21" s="3">
        <v>2005</v>
      </c>
      <c r="C21" t="s">
        <v>193</v>
      </c>
      <c r="D21">
        <v>31</v>
      </c>
      <c r="E21" t="s">
        <v>194</v>
      </c>
      <c r="F21">
        <v>82</v>
      </c>
      <c r="G21">
        <v>35.200000000000003</v>
      </c>
      <c r="H21">
        <f>IF(DPOY[[#This Row],[MP]]&gt;100,DPOY[[#This Row],[MP]]/10,DPOY[[#This Row],[MP]])</f>
        <v>35.200000000000003</v>
      </c>
      <c r="I21">
        <v>11.3</v>
      </c>
      <c r="J21">
        <v>1.8</v>
      </c>
      <c r="K21">
        <v>2.2000000000000002</v>
      </c>
      <c r="L21" s="8">
        <v>10.1</v>
      </c>
      <c r="M21" s="9">
        <v>0.16796008869179599</v>
      </c>
    </row>
    <row r="22" spans="1:13" x14ac:dyDescent="0.25">
      <c r="A22" t="s">
        <v>85</v>
      </c>
      <c r="B22" s="3">
        <v>2004</v>
      </c>
      <c r="C22" t="s">
        <v>193</v>
      </c>
      <c r="D22">
        <v>30</v>
      </c>
      <c r="E22" t="s">
        <v>194</v>
      </c>
      <c r="F22">
        <v>74</v>
      </c>
      <c r="G22">
        <v>36.1</v>
      </c>
      <c r="H22">
        <f>IF(DPOY[[#This Row],[MP]]&gt;100,DPOY[[#This Row],[MP]]/10,DPOY[[#This Row],[MP]])</f>
        <v>36.1</v>
      </c>
      <c r="I22">
        <v>12.2</v>
      </c>
      <c r="J22">
        <v>1.4</v>
      </c>
      <c r="K22">
        <v>2.4</v>
      </c>
      <c r="L22" s="8">
        <v>8.5</v>
      </c>
      <c r="M22" s="9">
        <v>0.15272890619151006</v>
      </c>
    </row>
    <row r="23" spans="1:13" x14ac:dyDescent="0.25">
      <c r="A23" t="s">
        <v>87</v>
      </c>
      <c r="B23" s="3">
        <v>2003</v>
      </c>
      <c r="C23" t="s">
        <v>195</v>
      </c>
      <c r="D23">
        <v>24</v>
      </c>
      <c r="E23" t="s">
        <v>196</v>
      </c>
      <c r="F23">
        <v>73</v>
      </c>
      <c r="G23">
        <v>37.200000000000003</v>
      </c>
      <c r="H23">
        <f>IF(DPOY[[#This Row],[MP]]&gt;100,DPOY[[#This Row],[MP]]/10,DPOY[[#This Row],[MP]])</f>
        <v>37.200000000000003</v>
      </c>
      <c r="I23">
        <v>5.3</v>
      </c>
      <c r="J23">
        <v>2.1</v>
      </c>
      <c r="K23">
        <v>0.7</v>
      </c>
      <c r="L23" s="8">
        <v>8</v>
      </c>
      <c r="M23" s="9">
        <v>0.14140521431727793</v>
      </c>
    </row>
    <row r="24" spans="1:13" x14ac:dyDescent="0.25">
      <c r="A24" t="s">
        <v>91</v>
      </c>
      <c r="B24" s="3">
        <v>2002</v>
      </c>
      <c r="C24" t="s">
        <v>193</v>
      </c>
      <c r="D24">
        <v>28</v>
      </c>
      <c r="E24" t="s">
        <v>194</v>
      </c>
      <c r="F24">
        <v>73</v>
      </c>
      <c r="G24">
        <v>39.4</v>
      </c>
      <c r="H24">
        <f>IF(DPOY[[#This Row],[MP]]&gt;100,DPOY[[#This Row],[MP]]/10,DPOY[[#This Row],[MP]])</f>
        <v>39.4</v>
      </c>
      <c r="I24">
        <v>15.4</v>
      </c>
      <c r="J24">
        <v>1.4</v>
      </c>
      <c r="K24">
        <v>3.2</v>
      </c>
      <c r="L24" s="8">
        <v>10.6</v>
      </c>
      <c r="M24" s="9">
        <v>0.17690007648981293</v>
      </c>
    </row>
    <row r="25" spans="1:13" x14ac:dyDescent="0.25">
      <c r="A25" t="s">
        <v>95</v>
      </c>
      <c r="B25" s="3">
        <v>2001</v>
      </c>
      <c r="C25" t="s">
        <v>193</v>
      </c>
      <c r="D25">
        <v>27</v>
      </c>
      <c r="E25" t="s">
        <v>194</v>
      </c>
      <c r="F25">
        <v>80</v>
      </c>
      <c r="G25">
        <v>36.5</v>
      </c>
      <c r="H25">
        <f>IF(DPOY[[#This Row],[MP]]&gt;100,DPOY[[#This Row],[MP]]/10,DPOY[[#This Row],[MP]])</f>
        <v>36.5</v>
      </c>
      <c r="I25">
        <v>13</v>
      </c>
      <c r="J25">
        <v>1.7</v>
      </c>
      <c r="K25">
        <v>3.5</v>
      </c>
      <c r="L25" s="8">
        <v>11.6</v>
      </c>
      <c r="M25" s="9">
        <v>0.19068493150684929</v>
      </c>
    </row>
    <row r="26" spans="1:13" x14ac:dyDescent="0.25">
      <c r="A26" t="s">
        <v>97</v>
      </c>
      <c r="B26" s="3">
        <v>2000</v>
      </c>
      <c r="C26" t="s">
        <v>197</v>
      </c>
      <c r="D26">
        <v>34</v>
      </c>
      <c r="E26" t="s">
        <v>198</v>
      </c>
      <c r="F26">
        <v>75</v>
      </c>
      <c r="G26">
        <v>34.5</v>
      </c>
      <c r="H26">
        <f>IF(DPOY[[#This Row],[MP]]&gt;100,DPOY[[#This Row],[MP]]/10,DPOY[[#This Row],[MP]])</f>
        <v>34.5</v>
      </c>
      <c r="I26">
        <v>13.5</v>
      </c>
      <c r="J26">
        <v>0.4</v>
      </c>
      <c r="K26">
        <v>2.7</v>
      </c>
      <c r="L26" s="8">
        <v>8.1</v>
      </c>
      <c r="M26" s="9">
        <v>0.15026086956521736</v>
      </c>
    </row>
    <row r="27" spans="1:13" x14ac:dyDescent="0.25">
      <c r="A27" t="s">
        <v>100</v>
      </c>
      <c r="B27" s="3">
        <v>1999</v>
      </c>
      <c r="C27" t="s">
        <v>199</v>
      </c>
      <c r="D27">
        <v>29</v>
      </c>
      <c r="E27" t="s">
        <v>61</v>
      </c>
      <c r="F27">
        <v>79</v>
      </c>
      <c r="G27">
        <v>34.799999999999997</v>
      </c>
      <c r="H27">
        <f>IF(DPOY[[#This Row],[MP]]&gt;100,DPOY[[#This Row],[MP]]/10,DPOY[[#This Row],[MP]])</f>
        <v>34.799999999999997</v>
      </c>
      <c r="I27">
        <v>9.5</v>
      </c>
      <c r="J27">
        <v>0.5</v>
      </c>
      <c r="K27">
        <v>3.7</v>
      </c>
      <c r="L27" s="8">
        <v>12.9</v>
      </c>
      <c r="M27" s="9">
        <v>0.22522915757311221</v>
      </c>
    </row>
    <row r="28" spans="1:13" x14ac:dyDescent="0.25">
      <c r="A28" t="s">
        <v>103</v>
      </c>
      <c r="B28" s="3">
        <v>1998</v>
      </c>
      <c r="C28" t="s">
        <v>199</v>
      </c>
      <c r="D28">
        <v>28</v>
      </c>
      <c r="E28" t="s">
        <v>61</v>
      </c>
      <c r="F28">
        <v>46</v>
      </c>
      <c r="G28">
        <v>38.1</v>
      </c>
      <c r="H28">
        <f>IF(DPOY[[#This Row],[MP]]&gt;100,DPOY[[#This Row],[MP]]/10,DPOY[[#This Row],[MP]])</f>
        <v>38.1</v>
      </c>
      <c r="I28">
        <v>11</v>
      </c>
      <c r="J28">
        <v>0.7</v>
      </c>
      <c r="K28">
        <v>3.9</v>
      </c>
      <c r="L28" s="8">
        <v>7.9</v>
      </c>
      <c r="M28" s="9">
        <v>0.21636425881547416</v>
      </c>
    </row>
    <row r="29" spans="1:13" x14ac:dyDescent="0.25">
      <c r="A29" t="s">
        <v>106</v>
      </c>
      <c r="B29" s="3">
        <v>1997</v>
      </c>
      <c r="C29" t="s">
        <v>197</v>
      </c>
      <c r="D29">
        <v>31</v>
      </c>
      <c r="E29" t="s">
        <v>200</v>
      </c>
      <c r="F29">
        <v>82</v>
      </c>
      <c r="G29">
        <v>35.6</v>
      </c>
      <c r="H29">
        <f>IF(DPOY[[#This Row],[MP]]&gt;100,DPOY[[#This Row],[MP]]/10,DPOY[[#This Row],[MP]])</f>
        <v>35.6</v>
      </c>
      <c r="I29">
        <v>11.4</v>
      </c>
      <c r="J29">
        <v>0.4</v>
      </c>
      <c r="K29">
        <v>3.4</v>
      </c>
      <c r="L29" s="8">
        <v>10.8</v>
      </c>
      <c r="M29" s="9">
        <v>0.17758289942449987</v>
      </c>
    </row>
    <row r="30" spans="1:13" x14ac:dyDescent="0.25">
      <c r="A30" t="s">
        <v>109</v>
      </c>
      <c r="B30" s="3">
        <v>1996</v>
      </c>
      <c r="C30" t="s">
        <v>197</v>
      </c>
      <c r="D30">
        <v>30</v>
      </c>
      <c r="E30" t="s">
        <v>200</v>
      </c>
      <c r="F30">
        <v>80</v>
      </c>
      <c r="G30">
        <v>37.200000000000003</v>
      </c>
      <c r="H30">
        <f>IF(DPOY[[#This Row],[MP]]&gt;100,DPOY[[#This Row],[MP]]/10,DPOY[[#This Row],[MP]])</f>
        <v>37.200000000000003</v>
      </c>
      <c r="I30">
        <v>11.6</v>
      </c>
      <c r="J30">
        <v>0.6</v>
      </c>
      <c r="K30">
        <v>3.3</v>
      </c>
      <c r="L30" s="8">
        <v>11.3</v>
      </c>
      <c r="M30" s="9">
        <v>0.18225806451612905</v>
      </c>
    </row>
    <row r="31" spans="1:13" x14ac:dyDescent="0.25">
      <c r="A31" t="s">
        <v>111</v>
      </c>
      <c r="B31" s="3">
        <v>1995</v>
      </c>
      <c r="C31" t="s">
        <v>201</v>
      </c>
      <c r="D31">
        <v>27</v>
      </c>
      <c r="E31" t="s">
        <v>202</v>
      </c>
      <c r="F31">
        <v>81</v>
      </c>
      <c r="G31">
        <v>39</v>
      </c>
      <c r="H31">
        <f>IF(DPOY[[#This Row],[MP]]&gt;100,DPOY[[#This Row],[MP]]/10,DPOY[[#This Row],[MP]])</f>
        <v>39</v>
      </c>
      <c r="I31">
        <v>4.2</v>
      </c>
      <c r="J31">
        <v>2.9</v>
      </c>
      <c r="K31">
        <v>0.2</v>
      </c>
      <c r="L31" s="8">
        <v>11.5</v>
      </c>
      <c r="M31" s="9">
        <v>0.17473884140550808</v>
      </c>
    </row>
    <row r="32" spans="1:13" x14ac:dyDescent="0.25">
      <c r="A32" t="s">
        <v>112</v>
      </c>
      <c r="B32" s="3">
        <v>1994</v>
      </c>
      <c r="C32" t="s">
        <v>197</v>
      </c>
      <c r="D32">
        <v>28</v>
      </c>
      <c r="E32" t="s">
        <v>32</v>
      </c>
      <c r="F32">
        <v>82</v>
      </c>
      <c r="G32">
        <v>37.799999999999997</v>
      </c>
      <c r="H32">
        <f>IF(DPOY[[#This Row],[MP]]&gt;100,DPOY[[#This Row],[MP]]/10,DPOY[[#This Row],[MP]])</f>
        <v>37.799999999999997</v>
      </c>
      <c r="I32">
        <v>12.5</v>
      </c>
      <c r="J32">
        <v>0.5</v>
      </c>
      <c r="K32">
        <v>3.9</v>
      </c>
      <c r="L32" s="8">
        <v>8.6999999999999993</v>
      </c>
      <c r="M32" s="9">
        <v>0.13472706155632985</v>
      </c>
    </row>
    <row r="33" spans="1:13" x14ac:dyDescent="0.25">
      <c r="A33" t="s">
        <v>115</v>
      </c>
      <c r="B33" s="3">
        <v>1993</v>
      </c>
      <c r="C33" t="s">
        <v>116</v>
      </c>
      <c r="D33">
        <v>31</v>
      </c>
      <c r="E33" t="s">
        <v>48</v>
      </c>
      <c r="F33">
        <v>80</v>
      </c>
      <c r="G33">
        <v>41</v>
      </c>
      <c r="H33">
        <f>IF(DPOY[[#This Row],[MP]]&gt;100,DPOY[[#This Row],[MP]]/10,DPOY[[#This Row],[MP]])</f>
        <v>41</v>
      </c>
      <c r="I33">
        <v>11.9</v>
      </c>
      <c r="J33">
        <v>1.6</v>
      </c>
      <c r="K33">
        <v>3.7</v>
      </c>
      <c r="L33" s="8">
        <v>14.3</v>
      </c>
      <c r="M33" s="9">
        <v>0.20926829268292685</v>
      </c>
    </row>
    <row r="34" spans="1:13" x14ac:dyDescent="0.25">
      <c r="A34" t="s">
        <v>118</v>
      </c>
      <c r="B34" s="3">
        <v>1992</v>
      </c>
      <c r="C34" t="s">
        <v>116</v>
      </c>
      <c r="D34">
        <v>30</v>
      </c>
      <c r="E34" t="s">
        <v>48</v>
      </c>
      <c r="F34">
        <v>82</v>
      </c>
      <c r="G34">
        <v>39.5</v>
      </c>
      <c r="H34">
        <f>IF(DPOY[[#This Row],[MP]]&gt;100,DPOY[[#This Row],[MP]]/10,DPOY[[#This Row],[MP]])</f>
        <v>39.5</v>
      </c>
      <c r="I34">
        <v>13</v>
      </c>
      <c r="J34">
        <v>1.8</v>
      </c>
      <c r="K34">
        <v>4.2</v>
      </c>
      <c r="L34" s="8">
        <v>15.8</v>
      </c>
      <c r="M34" s="9">
        <v>0.23414634146341468</v>
      </c>
    </row>
    <row r="35" spans="1:13" x14ac:dyDescent="0.25">
      <c r="A35" t="s">
        <v>121</v>
      </c>
      <c r="B35" s="3">
        <v>1991</v>
      </c>
      <c r="C35" t="s">
        <v>113</v>
      </c>
      <c r="D35">
        <v>26</v>
      </c>
      <c r="E35" t="s">
        <v>93</v>
      </c>
      <c r="F35">
        <v>68</v>
      </c>
      <c r="G35">
        <v>37.700000000000003</v>
      </c>
      <c r="H35">
        <f>IF(DPOY[[#This Row],[MP]]&gt;100,DPOY[[#This Row],[MP]]/10,DPOY[[#This Row],[MP]])</f>
        <v>37.700000000000003</v>
      </c>
      <c r="I35">
        <v>12.2</v>
      </c>
      <c r="J35">
        <v>2.2999999999999998</v>
      </c>
      <c r="K35">
        <v>4.5</v>
      </c>
      <c r="L35" s="8">
        <v>13.9</v>
      </c>
      <c r="M35" s="9">
        <v>0.26025901076611013</v>
      </c>
    </row>
    <row r="36" spans="1:13" x14ac:dyDescent="0.25">
      <c r="A36" t="s">
        <v>122</v>
      </c>
      <c r="B36" s="3">
        <v>1990</v>
      </c>
      <c r="C36" t="s">
        <v>203</v>
      </c>
      <c r="D36">
        <v>29</v>
      </c>
      <c r="E36" t="s">
        <v>194</v>
      </c>
      <c r="F36">
        <v>82</v>
      </c>
      <c r="G36">
        <v>33.5</v>
      </c>
      <c r="H36">
        <f>IF(DPOY[[#This Row],[MP]]&gt;100,DPOY[[#This Row],[MP]]/10,DPOY[[#This Row],[MP]])</f>
        <v>33.5</v>
      </c>
      <c r="I36">
        <v>12.5</v>
      </c>
      <c r="J36">
        <v>0.8</v>
      </c>
      <c r="K36">
        <v>0.7</v>
      </c>
      <c r="L36" s="8">
        <v>8.6999999999999993</v>
      </c>
      <c r="M36" s="9">
        <v>0.15202038587550054</v>
      </c>
    </row>
    <row r="37" spans="1:13" x14ac:dyDescent="0.25">
      <c r="A37" t="s">
        <v>124</v>
      </c>
      <c r="B37" s="3">
        <v>1989</v>
      </c>
      <c r="C37" t="s">
        <v>203</v>
      </c>
      <c r="D37">
        <v>28</v>
      </c>
      <c r="E37" t="s">
        <v>194</v>
      </c>
      <c r="F37">
        <v>82</v>
      </c>
      <c r="G37">
        <v>29</v>
      </c>
      <c r="H37">
        <f>IF(DPOY[[#This Row],[MP]]&gt;100,DPOY[[#This Row],[MP]]/10,DPOY[[#This Row],[MP]])</f>
        <v>29</v>
      </c>
      <c r="I37">
        <v>9.6999999999999993</v>
      </c>
      <c r="J37">
        <v>0.6</v>
      </c>
      <c r="K37">
        <v>0.7</v>
      </c>
      <c r="L37" s="8">
        <v>9.3000000000000007</v>
      </c>
      <c r="M37" s="9">
        <v>0.18772077375946175</v>
      </c>
    </row>
  </sheetData>
  <phoneticPr fontId="2" type="noConversion"/>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DB7DB-6CDC-4B23-B3F0-8868C3203A87}">
  <dimension ref="A1:M37"/>
  <sheetViews>
    <sheetView topLeftCell="A13" workbookViewId="0">
      <selection activeCell="M2" sqref="M2:M37"/>
    </sheetView>
  </sheetViews>
  <sheetFormatPr defaultRowHeight="15" x14ac:dyDescent="0.25"/>
  <cols>
    <col min="3" max="3" width="23" bestFit="1" customWidth="1"/>
  </cols>
  <sheetData>
    <row r="1" spans="1:13" x14ac:dyDescent="0.25">
      <c r="A1" t="s">
        <v>7</v>
      </c>
      <c r="B1" s="3" t="s">
        <v>127</v>
      </c>
      <c r="C1" t="s">
        <v>9</v>
      </c>
      <c r="D1" t="s">
        <v>10</v>
      </c>
      <c r="E1" t="s">
        <v>177</v>
      </c>
      <c r="F1" t="s">
        <v>12</v>
      </c>
      <c r="G1" t="s">
        <v>13</v>
      </c>
      <c r="H1" t="s">
        <v>206</v>
      </c>
      <c r="I1" t="s">
        <v>15</v>
      </c>
      <c r="J1" t="s">
        <v>17</v>
      </c>
      <c r="K1" t="s">
        <v>18</v>
      </c>
      <c r="L1" t="s">
        <v>22</v>
      </c>
      <c r="M1" t="s">
        <v>23</v>
      </c>
    </row>
    <row r="2" spans="1:13" x14ac:dyDescent="0.25">
      <c r="A2" t="s">
        <v>24</v>
      </c>
      <c r="B2" s="3">
        <v>2024</v>
      </c>
      <c r="C2" t="s">
        <v>178</v>
      </c>
      <c r="D2">
        <v>23</v>
      </c>
      <c r="E2" t="s">
        <v>70</v>
      </c>
      <c r="F2">
        <v>71</v>
      </c>
      <c r="G2">
        <v>30.5</v>
      </c>
      <c r="H2">
        <f>IF(DPOY1214[[#This Row],[MP]]&gt;100,DPOY1214[[#This Row],[MP]]/10,DPOY1214[[#This Row],[MP]])</f>
        <v>30.5</v>
      </c>
      <c r="I2">
        <v>9.3000000000000007</v>
      </c>
      <c r="J2">
        <v>0.9</v>
      </c>
      <c r="K2">
        <v>1.6</v>
      </c>
      <c r="L2" s="8">
        <v>9</v>
      </c>
      <c r="M2" s="9">
        <v>0.19949203417224659</v>
      </c>
    </row>
    <row r="3" spans="1:13" x14ac:dyDescent="0.25">
      <c r="A3" t="s">
        <v>30</v>
      </c>
      <c r="B3" s="3">
        <v>2023</v>
      </c>
      <c r="C3" t="s">
        <v>179</v>
      </c>
      <c r="D3">
        <v>31</v>
      </c>
      <c r="E3" t="s">
        <v>89</v>
      </c>
      <c r="F3">
        <v>76</v>
      </c>
      <c r="G3">
        <v>34.1</v>
      </c>
      <c r="H3">
        <f>IF(DPOY1214[[#This Row],[MP]]&gt;100,DPOY1214[[#This Row],[MP]]/10,DPOY1214[[#This Row],[MP]])</f>
        <v>34.1</v>
      </c>
      <c r="I3">
        <v>12.9</v>
      </c>
      <c r="J3">
        <v>0.7</v>
      </c>
      <c r="K3">
        <v>2.1</v>
      </c>
      <c r="L3" s="8">
        <v>11.6</v>
      </c>
      <c r="M3" s="9">
        <v>0.21484797036579717</v>
      </c>
    </row>
    <row r="4" spans="1:13" x14ac:dyDescent="0.25">
      <c r="A4" t="s">
        <v>34</v>
      </c>
      <c r="B4" s="3">
        <v>2022</v>
      </c>
      <c r="C4" t="s">
        <v>180</v>
      </c>
      <c r="D4">
        <v>23</v>
      </c>
      <c r="E4" t="s">
        <v>181</v>
      </c>
      <c r="F4">
        <v>63</v>
      </c>
      <c r="G4">
        <v>28.4</v>
      </c>
      <c r="H4">
        <f>IF(DPOY1214[[#This Row],[MP]]&gt;100,DPOY1214[[#This Row],[MP]]/10,DPOY1214[[#This Row],[MP]])</f>
        <v>28.4</v>
      </c>
      <c r="I4">
        <v>6.8</v>
      </c>
      <c r="J4">
        <v>1</v>
      </c>
      <c r="K4">
        <v>3</v>
      </c>
      <c r="L4" s="8">
        <v>6.6</v>
      </c>
      <c r="M4" s="9">
        <v>0.17706237424547283</v>
      </c>
    </row>
    <row r="5" spans="1:13" x14ac:dyDescent="0.25">
      <c r="A5" t="s">
        <v>37</v>
      </c>
      <c r="B5" s="3">
        <v>2021</v>
      </c>
      <c r="C5" t="s">
        <v>182</v>
      </c>
      <c r="D5">
        <v>27</v>
      </c>
      <c r="E5" t="s">
        <v>183</v>
      </c>
      <c r="F5">
        <v>71</v>
      </c>
      <c r="G5">
        <v>32.299999999999997</v>
      </c>
      <c r="H5">
        <f>IF(DPOY1214[[#This Row],[MP]]&gt;100,DPOY1214[[#This Row],[MP]]/10,DPOY1214[[#This Row],[MP]])</f>
        <v>32.299999999999997</v>
      </c>
      <c r="I5">
        <v>3.8</v>
      </c>
      <c r="J5">
        <v>1.7</v>
      </c>
      <c r="K5">
        <v>0.3</v>
      </c>
      <c r="L5" s="8">
        <v>5.6</v>
      </c>
      <c r="M5" s="9">
        <v>0.11721100597392403</v>
      </c>
    </row>
    <row r="6" spans="1:13" x14ac:dyDescent="0.25">
      <c r="A6" t="s">
        <v>39</v>
      </c>
      <c r="B6" s="3">
        <v>2020</v>
      </c>
      <c r="C6" t="s">
        <v>179</v>
      </c>
      <c r="D6">
        <v>28</v>
      </c>
      <c r="E6" t="s">
        <v>105</v>
      </c>
      <c r="F6">
        <v>71</v>
      </c>
      <c r="G6">
        <v>30.8</v>
      </c>
      <c r="H6">
        <f>IF(DPOY1214[[#This Row],[MP]]&gt;100,DPOY1214[[#This Row],[MP]]/10,DPOY1214[[#This Row],[MP]])</f>
        <v>30.8</v>
      </c>
      <c r="I6">
        <v>13.5</v>
      </c>
      <c r="J6">
        <v>0.6</v>
      </c>
      <c r="K6">
        <v>2.7</v>
      </c>
      <c r="L6" s="8">
        <v>11.3</v>
      </c>
      <c r="M6" s="9">
        <v>0.24803365648436074</v>
      </c>
    </row>
    <row r="7" spans="1:13" x14ac:dyDescent="0.25">
      <c r="A7" t="s">
        <v>40</v>
      </c>
      <c r="B7" s="3">
        <v>2019</v>
      </c>
      <c r="C7" t="s">
        <v>41</v>
      </c>
      <c r="D7">
        <v>25</v>
      </c>
      <c r="E7" t="s">
        <v>42</v>
      </c>
      <c r="F7">
        <v>63</v>
      </c>
      <c r="G7">
        <v>30.4</v>
      </c>
      <c r="H7">
        <f>IF(DPOY1214[[#This Row],[MP]]&gt;100,DPOY1214[[#This Row],[MP]]/10,DPOY1214[[#This Row],[MP]])</f>
        <v>30.4</v>
      </c>
      <c r="I7">
        <v>13.6</v>
      </c>
      <c r="J7">
        <v>1</v>
      </c>
      <c r="K7">
        <v>1</v>
      </c>
      <c r="L7" s="8">
        <v>11.1</v>
      </c>
      <c r="M7" s="9">
        <v>0.2781954887218045</v>
      </c>
    </row>
    <row r="8" spans="1:13" x14ac:dyDescent="0.25">
      <c r="A8" t="s">
        <v>44</v>
      </c>
      <c r="B8" s="3">
        <v>2018</v>
      </c>
      <c r="C8" t="s">
        <v>179</v>
      </c>
      <c r="D8">
        <v>26</v>
      </c>
      <c r="E8" t="s">
        <v>105</v>
      </c>
      <c r="F8">
        <v>81</v>
      </c>
      <c r="G8">
        <v>31.8</v>
      </c>
      <c r="H8">
        <f>IF(DPOY1214[[#This Row],[MP]]&gt;100,DPOY1214[[#This Row],[MP]]/10,DPOY1214[[#This Row],[MP]])</f>
        <v>31.8</v>
      </c>
      <c r="I8">
        <v>12.9</v>
      </c>
      <c r="J8">
        <v>0.8</v>
      </c>
      <c r="K8">
        <v>2.2999999999999998</v>
      </c>
      <c r="L8" s="8">
        <v>14.4</v>
      </c>
      <c r="M8" s="9">
        <v>0.26834381551362685</v>
      </c>
    </row>
    <row r="9" spans="1:13" x14ac:dyDescent="0.25">
      <c r="A9" t="s">
        <v>46</v>
      </c>
      <c r="B9" s="3">
        <v>2017</v>
      </c>
      <c r="C9" t="s">
        <v>179</v>
      </c>
      <c r="D9">
        <v>25</v>
      </c>
      <c r="E9" t="s">
        <v>105</v>
      </c>
      <c r="F9">
        <v>56</v>
      </c>
      <c r="G9">
        <v>32.4</v>
      </c>
      <c r="H9">
        <f>IF(DPOY1214[[#This Row],[MP]]&gt;100,DPOY1214[[#This Row],[MP]]/10,DPOY1214[[#This Row],[MP]])</f>
        <v>32.4</v>
      </c>
      <c r="I9">
        <v>10.7</v>
      </c>
      <c r="J9">
        <v>0.8</v>
      </c>
      <c r="K9">
        <v>2.2999999999999998</v>
      </c>
      <c r="L9" s="8">
        <v>8.1</v>
      </c>
      <c r="M9" s="9">
        <v>0.21428571428571427</v>
      </c>
    </row>
    <row r="10" spans="1:13" x14ac:dyDescent="0.25">
      <c r="A10" t="s">
        <v>50</v>
      </c>
      <c r="B10" s="3">
        <v>2016</v>
      </c>
      <c r="C10" t="s">
        <v>184</v>
      </c>
      <c r="D10">
        <v>26</v>
      </c>
      <c r="E10" t="s">
        <v>54</v>
      </c>
      <c r="F10">
        <v>76</v>
      </c>
      <c r="G10">
        <v>32.5</v>
      </c>
      <c r="H10">
        <f>IF(DPOY1214[[#This Row],[MP]]&gt;100,DPOY1214[[#This Row],[MP]]/10,DPOY1214[[#This Row],[MP]])</f>
        <v>32.5</v>
      </c>
      <c r="I10">
        <v>7.9</v>
      </c>
      <c r="J10">
        <v>2</v>
      </c>
      <c r="K10">
        <v>1.4</v>
      </c>
      <c r="L10" s="8">
        <v>8.1999999999999993</v>
      </c>
      <c r="M10" s="9">
        <v>0.15935222672064775</v>
      </c>
    </row>
    <row r="11" spans="1:13" x14ac:dyDescent="0.25">
      <c r="A11" t="s">
        <v>52</v>
      </c>
      <c r="B11" s="3">
        <v>2015</v>
      </c>
      <c r="C11" t="s">
        <v>185</v>
      </c>
      <c r="D11">
        <v>24</v>
      </c>
      <c r="E11" t="s">
        <v>93</v>
      </c>
      <c r="F11">
        <v>72</v>
      </c>
      <c r="G11">
        <v>33.1</v>
      </c>
      <c r="H11">
        <f>IF(DPOY1214[[#This Row],[MP]]&gt;100,DPOY1214[[#This Row],[MP]]/10,DPOY1214[[#This Row],[MP]])</f>
        <v>33.1</v>
      </c>
      <c r="I11">
        <v>6.8</v>
      </c>
      <c r="J11">
        <v>1.8</v>
      </c>
      <c r="K11">
        <v>1</v>
      </c>
      <c r="L11" s="8">
        <v>13.7</v>
      </c>
      <c r="M11" s="9">
        <v>0.27593152064451149</v>
      </c>
    </row>
    <row r="12" spans="1:13" x14ac:dyDescent="0.25">
      <c r="A12" t="s">
        <v>55</v>
      </c>
      <c r="B12" s="3">
        <v>2014</v>
      </c>
      <c r="C12" t="s">
        <v>185</v>
      </c>
      <c r="D12">
        <v>23</v>
      </c>
      <c r="E12" t="s">
        <v>93</v>
      </c>
      <c r="F12">
        <v>64</v>
      </c>
      <c r="G12">
        <v>31.8</v>
      </c>
      <c r="H12">
        <f>IF(DPOY1214[[#This Row],[MP]]&gt;100,DPOY1214[[#This Row],[MP]]/10,DPOY1214[[#This Row],[MP]])</f>
        <v>31.8</v>
      </c>
      <c r="I12">
        <v>7.2</v>
      </c>
      <c r="J12">
        <v>2.2999999999999998</v>
      </c>
      <c r="K12">
        <v>0.8</v>
      </c>
      <c r="L12" s="8">
        <v>8.6</v>
      </c>
      <c r="M12" s="9">
        <v>0.20283018867924527</v>
      </c>
    </row>
    <row r="13" spans="1:13" x14ac:dyDescent="0.25">
      <c r="A13" t="s">
        <v>56</v>
      </c>
      <c r="B13" s="3">
        <v>2013</v>
      </c>
      <c r="C13" t="s">
        <v>186</v>
      </c>
      <c r="D13">
        <v>28</v>
      </c>
      <c r="E13" t="s">
        <v>67</v>
      </c>
      <c r="F13">
        <v>80</v>
      </c>
      <c r="G13">
        <v>35.299999999999997</v>
      </c>
      <c r="H13">
        <f>IF(DPOY1214[[#This Row],[MP]]&gt;100,DPOY1214[[#This Row],[MP]]/10,DPOY1214[[#This Row],[MP]])</f>
        <v>35.299999999999997</v>
      </c>
      <c r="I13">
        <v>11.3</v>
      </c>
      <c r="J13">
        <v>1.2</v>
      </c>
      <c r="K13">
        <v>1.5</v>
      </c>
      <c r="L13" s="8">
        <v>11.2</v>
      </c>
      <c r="M13" s="9">
        <v>0.19036827195467418</v>
      </c>
    </row>
    <row r="14" spans="1:13" x14ac:dyDescent="0.25">
      <c r="A14" t="s">
        <v>59</v>
      </c>
      <c r="B14" s="3">
        <v>2012</v>
      </c>
      <c r="C14" t="s">
        <v>187</v>
      </c>
      <c r="D14">
        <v>28</v>
      </c>
      <c r="E14" t="s">
        <v>181</v>
      </c>
      <c r="F14">
        <v>80</v>
      </c>
      <c r="G14">
        <v>35</v>
      </c>
      <c r="H14">
        <f>IF(DPOY1214[[#This Row],[MP]]&gt;100,DPOY1214[[#This Row],[MP]]/10,DPOY1214[[#This Row],[MP]])</f>
        <v>35</v>
      </c>
      <c r="I14">
        <v>7.8</v>
      </c>
      <c r="J14">
        <v>1</v>
      </c>
      <c r="K14">
        <v>1.7</v>
      </c>
      <c r="L14" s="8">
        <v>11.5</v>
      </c>
      <c r="M14" s="9">
        <v>0.19714285714285715</v>
      </c>
    </row>
    <row r="15" spans="1:13" x14ac:dyDescent="0.25">
      <c r="A15" t="s">
        <v>63</v>
      </c>
      <c r="B15" s="3">
        <v>2011</v>
      </c>
      <c r="C15" t="s">
        <v>188</v>
      </c>
      <c r="D15">
        <v>29</v>
      </c>
      <c r="E15" t="s">
        <v>189</v>
      </c>
      <c r="F15">
        <v>62</v>
      </c>
      <c r="G15">
        <v>33.200000000000003</v>
      </c>
      <c r="H15">
        <f>IF(DPOY1214[[#This Row],[MP]]&gt;100,DPOY1214[[#This Row],[MP]]/10,DPOY1214[[#This Row],[MP]])</f>
        <v>33.200000000000003</v>
      </c>
      <c r="I15">
        <v>9.9</v>
      </c>
      <c r="J15">
        <v>0.9</v>
      </c>
      <c r="K15">
        <v>1.4</v>
      </c>
      <c r="L15" s="8">
        <v>9.5</v>
      </c>
      <c r="M15" s="9">
        <v>0.22153128643606684</v>
      </c>
    </row>
    <row r="16" spans="1:13" x14ac:dyDescent="0.25">
      <c r="A16" t="s">
        <v>65</v>
      </c>
      <c r="B16" s="3">
        <v>2010</v>
      </c>
      <c r="C16" t="s">
        <v>190</v>
      </c>
      <c r="D16">
        <v>25</v>
      </c>
      <c r="E16" t="s">
        <v>191</v>
      </c>
      <c r="F16">
        <v>78</v>
      </c>
      <c r="G16">
        <v>37.6</v>
      </c>
      <c r="H16">
        <f>IF(DPOY1214[[#This Row],[MP]]&gt;100,DPOY1214[[#This Row],[MP]]/10,DPOY1214[[#This Row],[MP]])</f>
        <v>37.6</v>
      </c>
      <c r="I16">
        <v>14.1</v>
      </c>
      <c r="J16">
        <v>1.4</v>
      </c>
      <c r="K16">
        <v>2.4</v>
      </c>
      <c r="L16" s="8">
        <v>14.4</v>
      </c>
      <c r="M16" s="9">
        <v>0.23567921440261866</v>
      </c>
    </row>
    <row r="17" spans="1:13" x14ac:dyDescent="0.25">
      <c r="A17" t="s">
        <v>69</v>
      </c>
      <c r="B17" s="3">
        <v>2009</v>
      </c>
      <c r="C17" t="s">
        <v>190</v>
      </c>
      <c r="D17">
        <v>24</v>
      </c>
      <c r="E17" t="s">
        <v>191</v>
      </c>
      <c r="F17">
        <v>82</v>
      </c>
      <c r="G17">
        <v>34.700000000000003</v>
      </c>
      <c r="H17">
        <f>IF(DPOY1214[[#This Row],[MP]]&gt;100,DPOY1214[[#This Row],[MP]]/10,DPOY1214[[#This Row],[MP]])</f>
        <v>34.700000000000003</v>
      </c>
      <c r="I17">
        <v>13.2</v>
      </c>
      <c r="J17">
        <v>0.9</v>
      </c>
      <c r="K17">
        <v>2.8</v>
      </c>
      <c r="L17" s="8">
        <v>13.2</v>
      </c>
      <c r="M17" s="9">
        <v>0.22267519505166231</v>
      </c>
    </row>
    <row r="18" spans="1:13" x14ac:dyDescent="0.25">
      <c r="A18" t="s">
        <v>72</v>
      </c>
      <c r="B18" s="3">
        <v>2008</v>
      </c>
      <c r="C18" t="s">
        <v>190</v>
      </c>
      <c r="D18">
        <v>23</v>
      </c>
      <c r="E18" t="s">
        <v>191</v>
      </c>
      <c r="F18">
        <v>79</v>
      </c>
      <c r="G18">
        <v>35.700000000000003</v>
      </c>
      <c r="H18">
        <f>IF(DPOY1214[[#This Row],[MP]]&gt;100,DPOY1214[[#This Row],[MP]]/10,DPOY1214[[#This Row],[MP]])</f>
        <v>35.700000000000003</v>
      </c>
      <c r="I18">
        <v>13.8</v>
      </c>
      <c r="J18">
        <v>1</v>
      </c>
      <c r="K18">
        <v>2.9</v>
      </c>
      <c r="L18" s="8">
        <v>13.8</v>
      </c>
      <c r="M18" s="9">
        <v>0.23486863099670249</v>
      </c>
    </row>
    <row r="19" spans="1:13" x14ac:dyDescent="0.25">
      <c r="A19" t="s">
        <v>74</v>
      </c>
      <c r="B19" s="3">
        <v>2007</v>
      </c>
      <c r="C19" t="s">
        <v>88</v>
      </c>
      <c r="D19">
        <v>31</v>
      </c>
      <c r="E19" t="s">
        <v>183</v>
      </c>
      <c r="F19">
        <v>71</v>
      </c>
      <c r="G19">
        <v>32.799999999999997</v>
      </c>
      <c r="H19">
        <f>IF(DPOY1214[[#This Row],[MP]]&gt;100,DPOY1214[[#This Row],[MP]]/10,DPOY1214[[#This Row],[MP]])</f>
        <v>32.799999999999997</v>
      </c>
      <c r="I19">
        <v>9.1999999999999993</v>
      </c>
      <c r="J19">
        <v>1.4</v>
      </c>
      <c r="K19">
        <v>1.3</v>
      </c>
      <c r="L19" s="8">
        <v>12.9</v>
      </c>
      <c r="M19" s="9">
        <v>0.26588801099278603</v>
      </c>
    </row>
    <row r="20" spans="1:13" x14ac:dyDescent="0.25">
      <c r="A20" t="s">
        <v>78</v>
      </c>
      <c r="B20" s="3">
        <v>2006</v>
      </c>
      <c r="C20" t="s">
        <v>192</v>
      </c>
      <c r="D20">
        <v>32</v>
      </c>
      <c r="E20" t="s">
        <v>32</v>
      </c>
      <c r="F20">
        <v>70</v>
      </c>
      <c r="G20">
        <v>33.799999999999997</v>
      </c>
      <c r="H20">
        <f>IF(DPOY1214[[#This Row],[MP]]&gt;100,DPOY1214[[#This Row],[MP]]/10,DPOY1214[[#This Row],[MP]])</f>
        <v>33.799999999999997</v>
      </c>
      <c r="I20">
        <v>11.7</v>
      </c>
      <c r="J20">
        <v>1.2</v>
      </c>
      <c r="K20">
        <v>3.3</v>
      </c>
      <c r="L20" s="8">
        <v>7.6</v>
      </c>
      <c r="M20" s="9">
        <v>0.15418427726120032</v>
      </c>
    </row>
    <row r="21" spans="1:13" x14ac:dyDescent="0.25">
      <c r="A21" t="s">
        <v>82</v>
      </c>
      <c r="B21" s="3">
        <v>2005</v>
      </c>
      <c r="C21" t="s">
        <v>193</v>
      </c>
      <c r="D21">
        <v>31</v>
      </c>
      <c r="E21" t="s">
        <v>194</v>
      </c>
      <c r="F21">
        <v>82</v>
      </c>
      <c r="G21">
        <v>35.200000000000003</v>
      </c>
      <c r="H21">
        <f>IF(DPOY1214[[#This Row],[MP]]&gt;100,DPOY1214[[#This Row],[MP]]/10,DPOY1214[[#This Row],[MP]])</f>
        <v>35.200000000000003</v>
      </c>
      <c r="I21">
        <v>11.3</v>
      </c>
      <c r="J21">
        <v>1.8</v>
      </c>
      <c r="K21">
        <v>2.2000000000000002</v>
      </c>
      <c r="L21" s="8">
        <v>10.1</v>
      </c>
      <c r="M21" s="9">
        <v>0.16796008869179599</v>
      </c>
    </row>
    <row r="22" spans="1:13" x14ac:dyDescent="0.25">
      <c r="A22" t="s">
        <v>85</v>
      </c>
      <c r="B22" s="3">
        <v>2004</v>
      </c>
      <c r="C22" t="s">
        <v>193</v>
      </c>
      <c r="D22">
        <v>30</v>
      </c>
      <c r="E22" t="s">
        <v>194</v>
      </c>
      <c r="F22">
        <v>74</v>
      </c>
      <c r="G22">
        <v>36.1</v>
      </c>
      <c r="H22">
        <f>IF(DPOY1214[[#This Row],[MP]]&gt;100,DPOY1214[[#This Row],[MP]]/10,DPOY1214[[#This Row],[MP]])</f>
        <v>36.1</v>
      </c>
      <c r="I22">
        <v>12.2</v>
      </c>
      <c r="J22">
        <v>1.4</v>
      </c>
      <c r="K22">
        <v>2.4</v>
      </c>
      <c r="L22" s="8">
        <v>8.5</v>
      </c>
      <c r="M22" s="9">
        <v>0.15272890619151006</v>
      </c>
    </row>
    <row r="23" spans="1:13" x14ac:dyDescent="0.25">
      <c r="A23" t="s">
        <v>87</v>
      </c>
      <c r="B23" s="3">
        <v>2003</v>
      </c>
      <c r="C23" t="s">
        <v>195</v>
      </c>
      <c r="D23">
        <v>24</v>
      </c>
      <c r="E23" t="s">
        <v>196</v>
      </c>
      <c r="F23">
        <v>73</v>
      </c>
      <c r="G23">
        <v>37.200000000000003</v>
      </c>
      <c r="H23">
        <f>IF(DPOY1214[[#This Row],[MP]]&gt;100,DPOY1214[[#This Row],[MP]]/10,DPOY1214[[#This Row],[MP]])</f>
        <v>37.200000000000003</v>
      </c>
      <c r="I23">
        <v>5.3</v>
      </c>
      <c r="J23">
        <v>2.1</v>
      </c>
      <c r="K23">
        <v>0.7</v>
      </c>
      <c r="L23" s="8">
        <v>8</v>
      </c>
      <c r="M23" s="9">
        <v>0.14140521431727793</v>
      </c>
    </row>
    <row r="24" spans="1:13" x14ac:dyDescent="0.25">
      <c r="A24" t="s">
        <v>91</v>
      </c>
      <c r="B24" s="3">
        <v>2002</v>
      </c>
      <c r="C24" t="s">
        <v>193</v>
      </c>
      <c r="D24">
        <v>28</v>
      </c>
      <c r="E24" t="s">
        <v>194</v>
      </c>
      <c r="F24">
        <v>73</v>
      </c>
      <c r="G24">
        <v>39.4</v>
      </c>
      <c r="H24">
        <f>IF(DPOY1214[[#This Row],[MP]]&gt;100,DPOY1214[[#This Row],[MP]]/10,DPOY1214[[#This Row],[MP]])</f>
        <v>39.4</v>
      </c>
      <c r="I24">
        <v>15.4</v>
      </c>
      <c r="J24">
        <v>1.4</v>
      </c>
      <c r="K24">
        <v>3.2</v>
      </c>
      <c r="L24" s="8">
        <v>10.6</v>
      </c>
      <c r="M24" s="9">
        <v>0.17690007648981293</v>
      </c>
    </row>
    <row r="25" spans="1:13" x14ac:dyDescent="0.25">
      <c r="A25" t="s">
        <v>95</v>
      </c>
      <c r="B25" s="3">
        <v>2001</v>
      </c>
      <c r="C25" t="s">
        <v>193</v>
      </c>
      <c r="D25">
        <v>27</v>
      </c>
      <c r="E25" t="s">
        <v>194</v>
      </c>
      <c r="F25">
        <v>80</v>
      </c>
      <c r="G25">
        <v>36.5</v>
      </c>
      <c r="H25">
        <f>IF(DPOY1214[[#This Row],[MP]]&gt;100,DPOY1214[[#This Row],[MP]]/10,DPOY1214[[#This Row],[MP]])</f>
        <v>36.5</v>
      </c>
      <c r="I25">
        <v>13</v>
      </c>
      <c r="J25">
        <v>1.7</v>
      </c>
      <c r="K25">
        <v>3.5</v>
      </c>
      <c r="L25" s="8">
        <v>11.6</v>
      </c>
      <c r="M25" s="9">
        <v>0.19068493150684929</v>
      </c>
    </row>
    <row r="26" spans="1:13" x14ac:dyDescent="0.25">
      <c r="A26" t="s">
        <v>97</v>
      </c>
      <c r="B26" s="3">
        <v>2000</v>
      </c>
      <c r="C26" t="s">
        <v>197</v>
      </c>
      <c r="D26">
        <v>34</v>
      </c>
      <c r="E26" t="s">
        <v>198</v>
      </c>
      <c r="F26">
        <v>75</v>
      </c>
      <c r="G26">
        <v>34.5</v>
      </c>
      <c r="H26">
        <f>IF(DPOY1214[[#This Row],[MP]]&gt;100,DPOY1214[[#This Row],[MP]]/10,DPOY1214[[#This Row],[MP]])</f>
        <v>34.5</v>
      </c>
      <c r="I26">
        <v>13.5</v>
      </c>
      <c r="J26">
        <v>0.4</v>
      </c>
      <c r="K26">
        <v>2.7</v>
      </c>
      <c r="L26" s="8">
        <v>8.1</v>
      </c>
      <c r="M26" s="9">
        <v>0.15026086956521736</v>
      </c>
    </row>
    <row r="27" spans="1:13" x14ac:dyDescent="0.25">
      <c r="A27" t="s">
        <v>100</v>
      </c>
      <c r="B27" s="3">
        <v>1999</v>
      </c>
      <c r="C27" t="s">
        <v>199</v>
      </c>
      <c r="D27">
        <v>29</v>
      </c>
      <c r="E27" t="s">
        <v>61</v>
      </c>
      <c r="F27">
        <v>79</v>
      </c>
      <c r="G27">
        <v>34.799999999999997</v>
      </c>
      <c r="H27">
        <f>IF(DPOY1214[[#This Row],[MP]]&gt;100,DPOY1214[[#This Row],[MP]]/10,DPOY1214[[#This Row],[MP]])</f>
        <v>34.799999999999997</v>
      </c>
      <c r="I27">
        <v>9.5</v>
      </c>
      <c r="J27">
        <v>0.5</v>
      </c>
      <c r="K27">
        <v>3.7</v>
      </c>
      <c r="L27" s="8">
        <v>12.9</v>
      </c>
      <c r="M27" s="9">
        <v>0.22522915757311221</v>
      </c>
    </row>
    <row r="28" spans="1:13" x14ac:dyDescent="0.25">
      <c r="A28" t="s">
        <v>103</v>
      </c>
      <c r="B28" s="3">
        <v>1998</v>
      </c>
      <c r="C28" t="s">
        <v>199</v>
      </c>
      <c r="D28">
        <v>28</v>
      </c>
      <c r="E28" t="s">
        <v>61</v>
      </c>
      <c r="F28">
        <v>46</v>
      </c>
      <c r="G28">
        <v>38.1</v>
      </c>
      <c r="H28">
        <f>IF(DPOY1214[[#This Row],[MP]]&gt;100,DPOY1214[[#This Row],[MP]]/10,DPOY1214[[#This Row],[MP]])</f>
        <v>38.1</v>
      </c>
      <c r="I28">
        <v>11</v>
      </c>
      <c r="J28">
        <v>0.7</v>
      </c>
      <c r="K28">
        <v>3.9</v>
      </c>
      <c r="L28" s="8">
        <v>7.9</v>
      </c>
      <c r="M28" s="9">
        <v>0.21636425881547416</v>
      </c>
    </row>
    <row r="29" spans="1:13" x14ac:dyDescent="0.25">
      <c r="A29" t="s">
        <v>106</v>
      </c>
      <c r="B29" s="3">
        <v>1997</v>
      </c>
      <c r="C29" t="s">
        <v>197</v>
      </c>
      <c r="D29">
        <v>31</v>
      </c>
      <c r="E29" t="s">
        <v>200</v>
      </c>
      <c r="F29">
        <v>82</v>
      </c>
      <c r="G29">
        <v>35.6</v>
      </c>
      <c r="H29">
        <f>IF(DPOY1214[[#This Row],[MP]]&gt;100,DPOY1214[[#This Row],[MP]]/10,DPOY1214[[#This Row],[MP]])</f>
        <v>35.6</v>
      </c>
      <c r="I29">
        <v>11.4</v>
      </c>
      <c r="J29">
        <v>0.4</v>
      </c>
      <c r="K29">
        <v>3.4</v>
      </c>
      <c r="L29" s="8">
        <v>10.8</v>
      </c>
      <c r="M29" s="9">
        <v>0.17758289942449987</v>
      </c>
    </row>
    <row r="30" spans="1:13" x14ac:dyDescent="0.25">
      <c r="A30" t="s">
        <v>109</v>
      </c>
      <c r="B30" s="3">
        <v>1996</v>
      </c>
      <c r="C30" t="s">
        <v>197</v>
      </c>
      <c r="D30">
        <v>30</v>
      </c>
      <c r="E30" t="s">
        <v>200</v>
      </c>
      <c r="F30">
        <v>80</v>
      </c>
      <c r="G30">
        <v>37.200000000000003</v>
      </c>
      <c r="H30">
        <f>IF(DPOY1214[[#This Row],[MP]]&gt;100,DPOY1214[[#This Row],[MP]]/10,DPOY1214[[#This Row],[MP]])</f>
        <v>37.200000000000003</v>
      </c>
      <c r="I30">
        <v>11.6</v>
      </c>
      <c r="J30">
        <v>0.6</v>
      </c>
      <c r="K30">
        <v>3.3</v>
      </c>
      <c r="L30" s="8">
        <v>11.3</v>
      </c>
      <c r="M30" s="9">
        <v>0.18225806451612905</v>
      </c>
    </row>
    <row r="31" spans="1:13" x14ac:dyDescent="0.25">
      <c r="A31" t="s">
        <v>111</v>
      </c>
      <c r="B31" s="3">
        <v>1995</v>
      </c>
      <c r="C31" t="s">
        <v>201</v>
      </c>
      <c r="D31">
        <v>27</v>
      </c>
      <c r="E31" t="s">
        <v>202</v>
      </c>
      <c r="F31">
        <v>81</v>
      </c>
      <c r="G31">
        <v>39</v>
      </c>
      <c r="H31">
        <f>IF(DPOY1214[[#This Row],[MP]]&gt;100,DPOY1214[[#This Row],[MP]]/10,DPOY1214[[#This Row],[MP]])</f>
        <v>39</v>
      </c>
      <c r="I31">
        <v>4.2</v>
      </c>
      <c r="J31">
        <v>2.9</v>
      </c>
      <c r="K31">
        <v>0.2</v>
      </c>
      <c r="L31" s="8">
        <v>11.5</v>
      </c>
      <c r="M31" s="9">
        <v>0.17473884140550808</v>
      </c>
    </row>
    <row r="32" spans="1:13" x14ac:dyDescent="0.25">
      <c r="A32" t="s">
        <v>112</v>
      </c>
      <c r="B32" s="3">
        <v>1994</v>
      </c>
      <c r="C32" t="s">
        <v>197</v>
      </c>
      <c r="D32">
        <v>28</v>
      </c>
      <c r="E32" t="s">
        <v>32</v>
      </c>
      <c r="F32">
        <v>82</v>
      </c>
      <c r="G32">
        <v>37.799999999999997</v>
      </c>
      <c r="H32">
        <f>IF(DPOY1214[[#This Row],[MP]]&gt;100,DPOY1214[[#This Row],[MP]]/10,DPOY1214[[#This Row],[MP]])</f>
        <v>37.799999999999997</v>
      </c>
      <c r="I32">
        <v>12.5</v>
      </c>
      <c r="J32">
        <v>0.5</v>
      </c>
      <c r="K32">
        <v>3.9</v>
      </c>
      <c r="L32" s="8">
        <v>8.6999999999999993</v>
      </c>
      <c r="M32" s="9">
        <v>0.13472706155632985</v>
      </c>
    </row>
    <row r="33" spans="1:13" x14ac:dyDescent="0.25">
      <c r="A33" t="s">
        <v>115</v>
      </c>
      <c r="B33" s="3">
        <v>1993</v>
      </c>
      <c r="C33" t="s">
        <v>116</v>
      </c>
      <c r="D33">
        <v>31</v>
      </c>
      <c r="E33" t="s">
        <v>48</v>
      </c>
      <c r="F33">
        <v>80</v>
      </c>
      <c r="G33">
        <v>41</v>
      </c>
      <c r="H33">
        <f>IF(DPOY1214[[#This Row],[MP]]&gt;100,DPOY1214[[#This Row],[MP]]/10,DPOY1214[[#This Row],[MP]])</f>
        <v>41</v>
      </c>
      <c r="I33">
        <v>11.9</v>
      </c>
      <c r="J33">
        <v>1.6</v>
      </c>
      <c r="K33">
        <v>3.7</v>
      </c>
      <c r="L33" s="8">
        <v>14.3</v>
      </c>
      <c r="M33" s="9">
        <v>0.20926829268292685</v>
      </c>
    </row>
    <row r="34" spans="1:13" x14ac:dyDescent="0.25">
      <c r="A34" t="s">
        <v>118</v>
      </c>
      <c r="B34" s="3">
        <v>1992</v>
      </c>
      <c r="C34" t="s">
        <v>116</v>
      </c>
      <c r="D34">
        <v>30</v>
      </c>
      <c r="E34" t="s">
        <v>48</v>
      </c>
      <c r="F34">
        <v>82</v>
      </c>
      <c r="G34">
        <v>39.5</v>
      </c>
      <c r="H34">
        <f>IF(DPOY1214[[#This Row],[MP]]&gt;100,DPOY1214[[#This Row],[MP]]/10,DPOY1214[[#This Row],[MP]])</f>
        <v>39.5</v>
      </c>
      <c r="I34">
        <v>13</v>
      </c>
      <c r="J34">
        <v>1.8</v>
      </c>
      <c r="K34">
        <v>4.2</v>
      </c>
      <c r="L34" s="8">
        <v>15.8</v>
      </c>
      <c r="M34" s="9">
        <v>0.23414634146341468</v>
      </c>
    </row>
    <row r="35" spans="1:13" x14ac:dyDescent="0.25">
      <c r="A35" t="s">
        <v>121</v>
      </c>
      <c r="B35" s="3">
        <v>1991</v>
      </c>
      <c r="C35" t="s">
        <v>113</v>
      </c>
      <c r="D35">
        <v>26</v>
      </c>
      <c r="E35" t="s">
        <v>93</v>
      </c>
      <c r="F35">
        <v>68</v>
      </c>
      <c r="G35">
        <v>37.700000000000003</v>
      </c>
      <c r="H35">
        <f>IF(DPOY1214[[#This Row],[MP]]&gt;100,DPOY1214[[#This Row],[MP]]/10,DPOY1214[[#This Row],[MP]])</f>
        <v>37.700000000000003</v>
      </c>
      <c r="I35">
        <v>12.2</v>
      </c>
      <c r="J35">
        <v>2.2999999999999998</v>
      </c>
      <c r="K35">
        <v>4.5</v>
      </c>
      <c r="L35" s="8">
        <v>13.9</v>
      </c>
      <c r="M35" s="9">
        <v>0.26025901076611013</v>
      </c>
    </row>
    <row r="36" spans="1:13" x14ac:dyDescent="0.25">
      <c r="A36" t="s">
        <v>122</v>
      </c>
      <c r="B36" s="3">
        <v>1990</v>
      </c>
      <c r="C36" t="s">
        <v>203</v>
      </c>
      <c r="D36">
        <v>29</v>
      </c>
      <c r="E36" t="s">
        <v>194</v>
      </c>
      <c r="F36">
        <v>82</v>
      </c>
      <c r="G36">
        <v>33.5</v>
      </c>
      <c r="H36">
        <f>IF(DPOY1214[[#This Row],[MP]]&gt;100,DPOY1214[[#This Row],[MP]]/10,DPOY1214[[#This Row],[MP]])</f>
        <v>33.5</v>
      </c>
      <c r="I36">
        <v>12.5</v>
      </c>
      <c r="J36">
        <v>0.8</v>
      </c>
      <c r="K36">
        <v>0.7</v>
      </c>
      <c r="L36" s="8">
        <v>8.6999999999999993</v>
      </c>
      <c r="M36" s="9">
        <v>0.15202038587550054</v>
      </c>
    </row>
    <row r="37" spans="1:13" x14ac:dyDescent="0.25">
      <c r="A37" t="s">
        <v>124</v>
      </c>
      <c r="B37" s="3">
        <v>1989</v>
      </c>
      <c r="C37" t="s">
        <v>203</v>
      </c>
      <c r="D37">
        <v>28</v>
      </c>
      <c r="E37" t="s">
        <v>194</v>
      </c>
      <c r="F37">
        <v>82</v>
      </c>
      <c r="G37">
        <v>29</v>
      </c>
      <c r="H37">
        <f>IF(DPOY1214[[#This Row],[MP]]&gt;100,DPOY1214[[#This Row],[MP]]/10,DPOY1214[[#This Row],[MP]])</f>
        <v>29</v>
      </c>
      <c r="I37">
        <v>9.6999999999999993</v>
      </c>
      <c r="J37">
        <v>0.6</v>
      </c>
      <c r="K37">
        <v>0.7</v>
      </c>
      <c r="L37" s="8">
        <v>9.3000000000000007</v>
      </c>
      <c r="M37" s="9">
        <v>0.18772077375946175</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4CBDB-C6BC-4A01-B985-79118071D1F6}">
  <dimension ref="A1:N39"/>
  <sheetViews>
    <sheetView topLeftCell="A2" workbookViewId="0">
      <selection activeCell="A2" sqref="A2"/>
    </sheetView>
  </sheetViews>
  <sheetFormatPr defaultRowHeight="15" x14ac:dyDescent="0.25"/>
  <cols>
    <col min="1" max="2" width="9.42578125" customWidth="1"/>
    <col min="3" max="3" width="22.7109375" bestFit="1" customWidth="1"/>
  </cols>
  <sheetData>
    <row r="1" spans="1:14" x14ac:dyDescent="0.25">
      <c r="A1" t="s">
        <v>7</v>
      </c>
      <c r="B1" t="s">
        <v>127</v>
      </c>
      <c r="C1" t="s">
        <v>9</v>
      </c>
      <c r="D1" t="s">
        <v>10</v>
      </c>
      <c r="E1" t="s">
        <v>177</v>
      </c>
      <c r="F1" t="s">
        <v>12</v>
      </c>
      <c r="G1" t="s">
        <v>13</v>
      </c>
      <c r="H1" t="s">
        <v>14</v>
      </c>
      <c r="I1" t="s">
        <v>15</v>
      </c>
      <c r="J1" t="s">
        <v>16</v>
      </c>
      <c r="K1" t="s">
        <v>17</v>
      </c>
      <c r="L1" t="s">
        <v>18</v>
      </c>
      <c r="M1" t="s">
        <v>22</v>
      </c>
      <c r="N1" t="s">
        <v>23</v>
      </c>
    </row>
    <row r="2" spans="1:14" x14ac:dyDescent="0.25">
      <c r="A2" t="s">
        <v>24</v>
      </c>
      <c r="B2">
        <v>2024</v>
      </c>
      <c r="C2" t="s">
        <v>224</v>
      </c>
      <c r="D2">
        <v>20</v>
      </c>
      <c r="E2" t="s">
        <v>93</v>
      </c>
      <c r="F2">
        <v>81</v>
      </c>
      <c r="G2" s="7">
        <v>26.7</v>
      </c>
      <c r="H2" s="8">
        <v>14.7</v>
      </c>
      <c r="I2" s="8">
        <v>3.7</v>
      </c>
      <c r="J2" s="8">
        <v>4.0999999999999996</v>
      </c>
      <c r="K2" s="8">
        <v>0.9</v>
      </c>
      <c r="L2" s="8">
        <v>0.3</v>
      </c>
      <c r="M2" s="8">
        <v>1.1000000000000001</v>
      </c>
      <c r="N2" s="9">
        <v>2.5000000000000001E-2</v>
      </c>
    </row>
    <row r="3" spans="1:14" x14ac:dyDescent="0.25">
      <c r="A3" t="s">
        <v>30</v>
      </c>
      <c r="B3">
        <v>2023</v>
      </c>
      <c r="C3" t="s">
        <v>225</v>
      </c>
      <c r="D3">
        <v>20</v>
      </c>
      <c r="E3" t="s">
        <v>93</v>
      </c>
      <c r="F3">
        <v>71</v>
      </c>
      <c r="G3" s="7">
        <v>29.7</v>
      </c>
      <c r="H3" s="8">
        <v>21.4</v>
      </c>
      <c r="I3" s="8">
        <v>10.6</v>
      </c>
      <c r="J3" s="8">
        <v>3.9</v>
      </c>
      <c r="K3" s="8">
        <v>1.2</v>
      </c>
      <c r="L3" s="8">
        <v>3.6</v>
      </c>
      <c r="M3" s="8">
        <v>3.7</v>
      </c>
      <c r="N3" s="9">
        <v>8.5000000000000006E-2</v>
      </c>
    </row>
    <row r="4" spans="1:14" x14ac:dyDescent="0.25">
      <c r="A4" t="s">
        <v>34</v>
      </c>
      <c r="B4">
        <v>2022</v>
      </c>
      <c r="C4" t="s">
        <v>226</v>
      </c>
      <c r="D4">
        <v>20</v>
      </c>
      <c r="E4" t="s">
        <v>191</v>
      </c>
      <c r="F4">
        <v>72</v>
      </c>
      <c r="G4" s="7">
        <v>33.799999999999997</v>
      </c>
      <c r="H4" s="8">
        <v>20</v>
      </c>
      <c r="I4" s="8">
        <v>6.9</v>
      </c>
      <c r="J4" s="8">
        <v>3.7</v>
      </c>
      <c r="K4" s="8">
        <v>0.8</v>
      </c>
      <c r="L4" s="8">
        <v>0.5</v>
      </c>
      <c r="M4" s="8">
        <v>2.4</v>
      </c>
      <c r="N4" s="9">
        <v>4.7E-2</v>
      </c>
    </row>
    <row r="5" spans="1:14" x14ac:dyDescent="0.25">
      <c r="A5" t="s">
        <v>37</v>
      </c>
      <c r="B5">
        <v>2021</v>
      </c>
      <c r="C5" t="s">
        <v>227</v>
      </c>
      <c r="D5">
        <v>20</v>
      </c>
      <c r="E5" t="s">
        <v>228</v>
      </c>
      <c r="F5">
        <v>74</v>
      </c>
      <c r="G5" s="7">
        <v>35.4</v>
      </c>
      <c r="H5" s="8">
        <v>15.3</v>
      </c>
      <c r="I5" s="8">
        <v>7.5</v>
      </c>
      <c r="J5" s="8">
        <v>3.5</v>
      </c>
      <c r="K5" s="8">
        <v>1.1000000000000001</v>
      </c>
      <c r="L5" s="8">
        <v>0.7</v>
      </c>
      <c r="M5" s="8">
        <v>6.6</v>
      </c>
      <c r="N5" s="9">
        <v>0.122</v>
      </c>
    </row>
    <row r="6" spans="1:14" x14ac:dyDescent="0.25">
      <c r="A6" t="s">
        <v>39</v>
      </c>
      <c r="B6">
        <v>2020</v>
      </c>
      <c r="C6" t="s">
        <v>229</v>
      </c>
      <c r="D6">
        <v>19</v>
      </c>
      <c r="E6" t="s">
        <v>230</v>
      </c>
      <c r="F6">
        <v>51</v>
      </c>
      <c r="G6" s="7">
        <v>28.8</v>
      </c>
      <c r="H6" s="8">
        <v>15.7</v>
      </c>
      <c r="I6" s="8">
        <v>5.9</v>
      </c>
      <c r="J6" s="8">
        <v>6.1</v>
      </c>
      <c r="K6" s="8">
        <v>1.6</v>
      </c>
      <c r="L6" s="8">
        <v>0.4</v>
      </c>
      <c r="M6" s="8">
        <v>2.8</v>
      </c>
      <c r="N6" s="9">
        <v>9.2999999999999999E-2</v>
      </c>
    </row>
    <row r="7" spans="1:14" x14ac:dyDescent="0.25">
      <c r="A7" t="s">
        <v>40</v>
      </c>
      <c r="B7">
        <v>2019</v>
      </c>
      <c r="C7" t="s">
        <v>231</v>
      </c>
      <c r="D7">
        <v>20</v>
      </c>
      <c r="E7" t="s">
        <v>181</v>
      </c>
      <c r="F7">
        <v>67</v>
      </c>
      <c r="G7" s="7">
        <v>31</v>
      </c>
      <c r="H7" s="8">
        <v>17.8</v>
      </c>
      <c r="I7" s="8">
        <v>3.9</v>
      </c>
      <c r="J7" s="8">
        <v>7.3</v>
      </c>
      <c r="K7" s="8">
        <v>0.9</v>
      </c>
      <c r="L7" s="8">
        <v>0.3</v>
      </c>
      <c r="M7" s="8">
        <v>3.8</v>
      </c>
      <c r="N7" s="9">
        <v>8.7999999999999995E-2</v>
      </c>
    </row>
    <row r="8" spans="1:14" x14ac:dyDescent="0.25">
      <c r="A8" t="s">
        <v>44</v>
      </c>
      <c r="B8">
        <v>2018</v>
      </c>
      <c r="C8" t="s">
        <v>232</v>
      </c>
      <c r="D8">
        <v>19</v>
      </c>
      <c r="E8" t="s">
        <v>80</v>
      </c>
      <c r="F8">
        <v>72</v>
      </c>
      <c r="G8" s="7">
        <v>32.200000000000003</v>
      </c>
      <c r="H8" s="8">
        <v>21.2</v>
      </c>
      <c r="I8" s="8">
        <v>7.8</v>
      </c>
      <c r="J8" s="8">
        <v>6</v>
      </c>
      <c r="K8" s="8">
        <v>1.1000000000000001</v>
      </c>
      <c r="L8" s="8">
        <v>0.3</v>
      </c>
      <c r="M8" s="8">
        <v>4.9000000000000004</v>
      </c>
      <c r="N8" s="9">
        <v>0.10100000000000001</v>
      </c>
    </row>
    <row r="9" spans="1:14" x14ac:dyDescent="0.25">
      <c r="A9" t="s">
        <v>46</v>
      </c>
      <c r="B9">
        <v>2017</v>
      </c>
      <c r="C9" t="s">
        <v>233</v>
      </c>
      <c r="D9">
        <v>21</v>
      </c>
      <c r="E9" t="s">
        <v>36</v>
      </c>
      <c r="F9">
        <v>81</v>
      </c>
      <c r="G9" s="7">
        <v>33.700000000000003</v>
      </c>
      <c r="H9" s="8">
        <v>15.8</v>
      </c>
      <c r="I9" s="8">
        <v>8.1</v>
      </c>
      <c r="J9" s="8">
        <v>8.1999999999999993</v>
      </c>
      <c r="K9" s="8">
        <v>1.7</v>
      </c>
      <c r="L9" s="8">
        <v>0.9</v>
      </c>
      <c r="M9" s="8">
        <v>9.1999999999999993</v>
      </c>
      <c r="N9" s="9">
        <v>0.16200000000000001</v>
      </c>
    </row>
    <row r="10" spans="1:14" x14ac:dyDescent="0.25">
      <c r="A10" t="s">
        <v>50</v>
      </c>
      <c r="B10">
        <v>2016</v>
      </c>
      <c r="C10" t="s">
        <v>234</v>
      </c>
      <c r="D10">
        <v>24</v>
      </c>
      <c r="E10" t="s">
        <v>42</v>
      </c>
      <c r="F10">
        <v>75</v>
      </c>
      <c r="G10" s="7">
        <v>26.4</v>
      </c>
      <c r="H10" s="8">
        <v>10.199999999999999</v>
      </c>
      <c r="I10" s="8">
        <v>2.8</v>
      </c>
      <c r="J10" s="8">
        <v>4.2</v>
      </c>
      <c r="K10" s="8">
        <v>1.1000000000000001</v>
      </c>
      <c r="L10" s="8">
        <v>0.2</v>
      </c>
      <c r="M10" s="8">
        <v>4.0999999999999996</v>
      </c>
      <c r="N10" s="9">
        <v>0.1</v>
      </c>
    </row>
    <row r="11" spans="1:14" x14ac:dyDescent="0.25">
      <c r="A11" t="s">
        <v>52</v>
      </c>
      <c r="B11">
        <v>2015</v>
      </c>
      <c r="C11" t="s">
        <v>235</v>
      </c>
      <c r="D11">
        <v>20</v>
      </c>
      <c r="E11" t="s">
        <v>89</v>
      </c>
      <c r="F11">
        <v>82</v>
      </c>
      <c r="G11" s="7">
        <v>32</v>
      </c>
      <c r="H11" s="8">
        <v>18.3</v>
      </c>
      <c r="I11" s="8">
        <v>10.5</v>
      </c>
      <c r="J11" s="8">
        <v>2</v>
      </c>
      <c r="K11" s="8">
        <v>0.7</v>
      </c>
      <c r="L11" s="8">
        <v>1.7</v>
      </c>
      <c r="M11" s="8">
        <v>8.3000000000000007</v>
      </c>
      <c r="N11" s="9">
        <v>0.151</v>
      </c>
    </row>
    <row r="12" spans="1:14" x14ac:dyDescent="0.25">
      <c r="A12" t="s">
        <v>55</v>
      </c>
      <c r="B12">
        <v>2014</v>
      </c>
      <c r="C12" t="s">
        <v>236</v>
      </c>
      <c r="D12">
        <v>19</v>
      </c>
      <c r="E12" t="s">
        <v>89</v>
      </c>
      <c r="F12">
        <v>82</v>
      </c>
      <c r="G12" s="7">
        <v>36.200000000000003</v>
      </c>
      <c r="H12" s="8">
        <v>16.899999999999999</v>
      </c>
      <c r="I12" s="8">
        <v>4.5999999999999996</v>
      </c>
      <c r="J12" s="8">
        <v>2.1</v>
      </c>
      <c r="K12" s="8">
        <v>1</v>
      </c>
      <c r="L12" s="8">
        <v>0.6</v>
      </c>
      <c r="M12" s="8">
        <v>2.1</v>
      </c>
      <c r="N12" s="9">
        <v>3.4000000000000002E-2</v>
      </c>
    </row>
    <row r="13" spans="1:14" x14ac:dyDescent="0.25">
      <c r="A13" t="s">
        <v>56</v>
      </c>
      <c r="B13">
        <v>2013</v>
      </c>
      <c r="C13" t="s">
        <v>237</v>
      </c>
      <c r="D13">
        <v>22</v>
      </c>
      <c r="E13" t="s">
        <v>36</v>
      </c>
      <c r="F13">
        <v>70</v>
      </c>
      <c r="G13" s="7">
        <v>34.5</v>
      </c>
      <c r="H13" s="8">
        <v>16.7</v>
      </c>
      <c r="I13" s="8">
        <v>6.2</v>
      </c>
      <c r="J13" s="8">
        <v>6.3</v>
      </c>
      <c r="K13" s="8">
        <v>1.9</v>
      </c>
      <c r="L13" s="8">
        <v>0.6</v>
      </c>
      <c r="M13" s="8">
        <v>1.3</v>
      </c>
      <c r="N13" s="9">
        <v>2.5999999999999999E-2</v>
      </c>
    </row>
    <row r="14" spans="1:14" x14ac:dyDescent="0.25">
      <c r="A14" t="s">
        <v>59</v>
      </c>
      <c r="B14">
        <v>2012</v>
      </c>
      <c r="C14" t="s">
        <v>238</v>
      </c>
      <c r="D14">
        <v>22</v>
      </c>
      <c r="E14" t="s">
        <v>239</v>
      </c>
      <c r="F14">
        <v>82</v>
      </c>
      <c r="G14" s="7">
        <v>38.6</v>
      </c>
      <c r="H14" s="8">
        <v>19</v>
      </c>
      <c r="I14" s="8">
        <v>3.1</v>
      </c>
      <c r="J14" s="8">
        <v>6.5</v>
      </c>
      <c r="K14" s="8">
        <v>0.9</v>
      </c>
      <c r="L14" s="8">
        <v>0.2</v>
      </c>
      <c r="M14" s="8">
        <v>5.8</v>
      </c>
      <c r="N14" s="9">
        <v>8.7999999999999995E-2</v>
      </c>
    </row>
    <row r="15" spans="1:14" x14ac:dyDescent="0.25">
      <c r="A15" t="s">
        <v>63</v>
      </c>
      <c r="B15">
        <v>2011</v>
      </c>
      <c r="C15" t="s">
        <v>240</v>
      </c>
      <c r="D15">
        <v>19</v>
      </c>
      <c r="E15" t="s">
        <v>70</v>
      </c>
      <c r="F15">
        <v>51</v>
      </c>
      <c r="G15" s="7">
        <v>30.5</v>
      </c>
      <c r="H15" s="8">
        <v>18.5</v>
      </c>
      <c r="I15" s="8">
        <v>3.7</v>
      </c>
      <c r="J15" s="8">
        <v>5.4</v>
      </c>
      <c r="K15" s="8">
        <v>1.1000000000000001</v>
      </c>
      <c r="L15" s="8">
        <v>0.4</v>
      </c>
      <c r="M15" s="8">
        <v>4.0999999999999996</v>
      </c>
      <c r="N15" s="9">
        <v>0.125</v>
      </c>
    </row>
    <row r="16" spans="1:14" x14ac:dyDescent="0.25">
      <c r="A16" t="s">
        <v>65</v>
      </c>
      <c r="B16">
        <v>2010</v>
      </c>
      <c r="C16" t="s">
        <v>241</v>
      </c>
      <c r="D16">
        <v>21</v>
      </c>
      <c r="E16" t="s">
        <v>242</v>
      </c>
      <c r="F16">
        <v>82</v>
      </c>
      <c r="G16" s="7">
        <v>38</v>
      </c>
      <c r="H16" s="8">
        <v>22.5</v>
      </c>
      <c r="I16" s="8">
        <v>12.1</v>
      </c>
      <c r="J16" s="8">
        <v>3.8</v>
      </c>
      <c r="K16" s="8">
        <v>0.8</v>
      </c>
      <c r="L16" s="8">
        <v>0.5</v>
      </c>
      <c r="M16" s="8">
        <v>9.8000000000000007</v>
      </c>
      <c r="N16" s="9">
        <v>0.152</v>
      </c>
    </row>
    <row r="17" spans="1:14" x14ac:dyDescent="0.25">
      <c r="A17" t="s">
        <v>69</v>
      </c>
      <c r="B17">
        <v>2009</v>
      </c>
      <c r="C17" t="s">
        <v>243</v>
      </c>
      <c r="D17">
        <v>20</v>
      </c>
      <c r="E17" t="s">
        <v>244</v>
      </c>
      <c r="F17">
        <v>72</v>
      </c>
      <c r="G17" s="7">
        <v>37.200000000000003</v>
      </c>
      <c r="H17" s="8">
        <v>20.100000000000001</v>
      </c>
      <c r="I17" s="8">
        <v>5.3</v>
      </c>
      <c r="J17" s="8">
        <v>5.8</v>
      </c>
      <c r="K17" s="8">
        <v>1.5</v>
      </c>
      <c r="L17" s="8">
        <v>0.4</v>
      </c>
      <c r="M17" s="8">
        <v>5.4</v>
      </c>
      <c r="N17" s="9">
        <v>9.7000000000000003E-2</v>
      </c>
    </row>
    <row r="18" spans="1:14" x14ac:dyDescent="0.25">
      <c r="A18" t="s">
        <v>72</v>
      </c>
      <c r="B18">
        <v>2008</v>
      </c>
      <c r="C18" t="s">
        <v>66</v>
      </c>
      <c r="D18">
        <v>20</v>
      </c>
      <c r="E18" t="s">
        <v>67</v>
      </c>
      <c r="F18">
        <v>81</v>
      </c>
      <c r="G18" s="7">
        <v>37</v>
      </c>
      <c r="H18" s="8">
        <v>16.8</v>
      </c>
      <c r="I18" s="8">
        <v>3.9</v>
      </c>
      <c r="J18" s="8">
        <v>6.3</v>
      </c>
      <c r="K18" s="8">
        <v>0.8</v>
      </c>
      <c r="L18" s="8">
        <v>0.2</v>
      </c>
      <c r="M18" s="8">
        <v>4.9000000000000004</v>
      </c>
      <c r="N18" s="9">
        <v>7.8E-2</v>
      </c>
    </row>
    <row r="19" spans="1:14" x14ac:dyDescent="0.25">
      <c r="A19" t="s">
        <v>74</v>
      </c>
      <c r="B19">
        <v>2007</v>
      </c>
      <c r="C19" t="s">
        <v>57</v>
      </c>
      <c r="D19">
        <v>19</v>
      </c>
      <c r="E19" t="s">
        <v>202</v>
      </c>
      <c r="F19">
        <v>80</v>
      </c>
      <c r="G19" s="7">
        <v>34.6</v>
      </c>
      <c r="H19" s="8">
        <v>20.3</v>
      </c>
      <c r="I19" s="8">
        <v>4.4000000000000004</v>
      </c>
      <c r="J19" s="8">
        <v>2.4</v>
      </c>
      <c r="K19" s="8">
        <v>1</v>
      </c>
      <c r="L19" s="8">
        <v>0.9</v>
      </c>
      <c r="M19" s="8">
        <v>2.2999999999999998</v>
      </c>
      <c r="N19" s="9">
        <v>0.04</v>
      </c>
    </row>
    <row r="20" spans="1:14" x14ac:dyDescent="0.25">
      <c r="A20" t="s">
        <v>78</v>
      </c>
      <c r="B20">
        <v>2006</v>
      </c>
      <c r="C20" t="s">
        <v>245</v>
      </c>
      <c r="D20">
        <v>22</v>
      </c>
      <c r="E20" t="s">
        <v>239</v>
      </c>
      <c r="F20">
        <v>57</v>
      </c>
      <c r="G20" s="7">
        <v>35.4</v>
      </c>
      <c r="H20" s="8">
        <v>16.8</v>
      </c>
      <c r="I20" s="8">
        <v>4.4000000000000004</v>
      </c>
      <c r="J20" s="8">
        <v>4</v>
      </c>
      <c r="K20" s="8">
        <v>1.2</v>
      </c>
      <c r="L20" s="8">
        <v>0.2</v>
      </c>
      <c r="M20" s="8">
        <v>4.8</v>
      </c>
      <c r="N20" s="9">
        <v>0.114</v>
      </c>
    </row>
    <row r="21" spans="1:14" x14ac:dyDescent="0.25">
      <c r="A21" t="s">
        <v>82</v>
      </c>
      <c r="B21">
        <v>2005</v>
      </c>
      <c r="C21" t="s">
        <v>246</v>
      </c>
      <c r="D21">
        <v>20</v>
      </c>
      <c r="E21" t="s">
        <v>247</v>
      </c>
      <c r="F21">
        <v>78</v>
      </c>
      <c r="G21" s="7">
        <v>36</v>
      </c>
      <c r="H21" s="8">
        <v>16.100000000000001</v>
      </c>
      <c r="I21" s="8">
        <v>5.0999999999999996</v>
      </c>
      <c r="J21" s="8">
        <v>7.8</v>
      </c>
      <c r="K21" s="8">
        <v>2.2000000000000002</v>
      </c>
      <c r="L21" s="8">
        <v>0.1</v>
      </c>
      <c r="M21" s="8">
        <v>10.4</v>
      </c>
      <c r="N21" s="9">
        <v>0.17799999999999999</v>
      </c>
    </row>
    <row r="22" spans="1:14" x14ac:dyDescent="0.25">
      <c r="A22" t="s">
        <v>85</v>
      </c>
      <c r="B22">
        <v>2004</v>
      </c>
      <c r="C22" t="s">
        <v>248</v>
      </c>
      <c r="D22">
        <v>22</v>
      </c>
      <c r="E22" t="s">
        <v>249</v>
      </c>
      <c r="F22">
        <v>73</v>
      </c>
      <c r="G22" s="7">
        <v>35.6</v>
      </c>
      <c r="H22" s="8">
        <v>15.1</v>
      </c>
      <c r="I22" s="8">
        <v>10.9</v>
      </c>
      <c r="J22" s="8">
        <v>0.9</v>
      </c>
      <c r="K22" s="8">
        <v>0.8</v>
      </c>
      <c r="L22" s="8">
        <v>1.7</v>
      </c>
      <c r="M22" s="8">
        <v>4</v>
      </c>
      <c r="N22" s="9">
        <v>7.3999999999999996E-2</v>
      </c>
    </row>
    <row r="23" spans="1:14" x14ac:dyDescent="0.25">
      <c r="A23" t="s">
        <v>87</v>
      </c>
      <c r="B23">
        <v>2003</v>
      </c>
      <c r="C23" t="s">
        <v>60</v>
      </c>
      <c r="D23">
        <v>19</v>
      </c>
      <c r="E23" t="s">
        <v>70</v>
      </c>
      <c r="F23">
        <v>79</v>
      </c>
      <c r="G23" s="7">
        <v>39.5</v>
      </c>
      <c r="H23" s="8">
        <v>20.9</v>
      </c>
      <c r="I23" s="8">
        <v>5.5</v>
      </c>
      <c r="J23" s="8">
        <v>5.9</v>
      </c>
      <c r="K23" s="8">
        <v>1.6</v>
      </c>
      <c r="L23" s="8">
        <v>0.7</v>
      </c>
      <c r="M23" s="8">
        <v>5.0999999999999996</v>
      </c>
      <c r="N23" s="9">
        <v>7.8E-2</v>
      </c>
    </row>
    <row r="24" spans="1:14" x14ac:dyDescent="0.25">
      <c r="A24" t="s">
        <v>91</v>
      </c>
      <c r="B24">
        <v>2002</v>
      </c>
      <c r="C24" t="s">
        <v>250</v>
      </c>
      <c r="D24">
        <v>20</v>
      </c>
      <c r="E24" t="s">
        <v>84</v>
      </c>
      <c r="F24">
        <v>82</v>
      </c>
      <c r="G24" s="7">
        <v>31.3</v>
      </c>
      <c r="H24" s="8">
        <v>13.5</v>
      </c>
      <c r="I24" s="8">
        <v>8.8000000000000007</v>
      </c>
      <c r="J24" s="8">
        <v>1</v>
      </c>
      <c r="K24" s="8">
        <v>0.8</v>
      </c>
      <c r="L24" s="8">
        <v>1.1000000000000001</v>
      </c>
      <c r="M24" s="8">
        <v>6.2</v>
      </c>
      <c r="N24" s="9">
        <v>0.11600000000000001</v>
      </c>
    </row>
    <row r="25" spans="1:14" x14ac:dyDescent="0.25">
      <c r="A25" t="s">
        <v>95</v>
      </c>
      <c r="B25">
        <v>2001</v>
      </c>
      <c r="C25" t="s">
        <v>251</v>
      </c>
      <c r="D25">
        <v>21</v>
      </c>
      <c r="E25" t="s">
        <v>181</v>
      </c>
      <c r="F25">
        <v>82</v>
      </c>
      <c r="G25" s="7">
        <v>36.700000000000003</v>
      </c>
      <c r="H25" s="8">
        <v>17.600000000000001</v>
      </c>
      <c r="I25" s="8">
        <v>8.9</v>
      </c>
      <c r="J25" s="8">
        <v>2.7</v>
      </c>
      <c r="K25" s="8">
        <v>0.5</v>
      </c>
      <c r="L25" s="8">
        <v>2.1</v>
      </c>
      <c r="M25" s="8">
        <v>7.6</v>
      </c>
      <c r="N25" s="9">
        <v>0.121</v>
      </c>
    </row>
    <row r="26" spans="1:14" x14ac:dyDescent="0.25">
      <c r="A26" t="s">
        <v>97</v>
      </c>
      <c r="B26">
        <v>2000</v>
      </c>
      <c r="C26" t="s">
        <v>252</v>
      </c>
      <c r="D26">
        <v>20</v>
      </c>
      <c r="E26" t="s">
        <v>191</v>
      </c>
      <c r="F26">
        <v>82</v>
      </c>
      <c r="G26" s="7">
        <v>29.1</v>
      </c>
      <c r="H26" s="8">
        <v>11.9</v>
      </c>
      <c r="I26" s="8">
        <v>4</v>
      </c>
      <c r="J26" s="8">
        <v>1.7</v>
      </c>
      <c r="K26" s="8">
        <v>0.6</v>
      </c>
      <c r="L26" s="8">
        <v>0.2</v>
      </c>
      <c r="M26" s="8">
        <v>5.3</v>
      </c>
      <c r="N26" s="9">
        <v>0.106</v>
      </c>
    </row>
    <row r="27" spans="1:14" x14ac:dyDescent="0.25">
      <c r="A27" t="s">
        <v>100</v>
      </c>
      <c r="B27">
        <v>1999</v>
      </c>
      <c r="C27" t="s">
        <v>253</v>
      </c>
      <c r="D27">
        <v>22</v>
      </c>
      <c r="E27" t="s">
        <v>48</v>
      </c>
      <c r="F27">
        <v>77</v>
      </c>
      <c r="G27" s="7">
        <v>36.1</v>
      </c>
      <c r="H27" s="8">
        <v>18</v>
      </c>
      <c r="I27" s="8">
        <v>5.3</v>
      </c>
      <c r="J27" s="8">
        <v>6.6</v>
      </c>
      <c r="K27" s="8">
        <v>1.5</v>
      </c>
      <c r="L27" s="8">
        <v>0.4</v>
      </c>
      <c r="M27" s="8">
        <v>6.4</v>
      </c>
      <c r="N27" s="9">
        <v>0.111</v>
      </c>
    </row>
    <row r="28" spans="1:14" x14ac:dyDescent="0.25">
      <c r="A28" t="s">
        <v>100</v>
      </c>
      <c r="B28">
        <v>1999</v>
      </c>
      <c r="C28" t="s">
        <v>254</v>
      </c>
      <c r="D28">
        <v>20</v>
      </c>
      <c r="E28" t="s">
        <v>67</v>
      </c>
      <c r="F28">
        <v>81</v>
      </c>
      <c r="G28" s="7">
        <v>37</v>
      </c>
      <c r="H28" s="8">
        <v>20.100000000000001</v>
      </c>
      <c r="I28" s="8">
        <v>10</v>
      </c>
      <c r="J28" s="8">
        <v>1.9</v>
      </c>
      <c r="K28" s="8">
        <v>0.8</v>
      </c>
      <c r="L28" s="8">
        <v>1.6</v>
      </c>
      <c r="M28" s="8">
        <v>7.5</v>
      </c>
      <c r="N28" s="9">
        <v>0.121</v>
      </c>
    </row>
    <row r="29" spans="1:14" x14ac:dyDescent="0.25">
      <c r="A29" t="s">
        <v>103</v>
      </c>
      <c r="B29">
        <v>1998</v>
      </c>
      <c r="C29" t="s">
        <v>255</v>
      </c>
      <c r="D29">
        <v>22</v>
      </c>
      <c r="E29" t="s">
        <v>228</v>
      </c>
      <c r="F29">
        <v>50</v>
      </c>
      <c r="G29" s="7">
        <v>35.200000000000003</v>
      </c>
      <c r="H29" s="8">
        <v>18.3</v>
      </c>
      <c r="I29" s="8">
        <v>5.7</v>
      </c>
      <c r="J29" s="8">
        <v>3</v>
      </c>
      <c r="K29" s="8">
        <v>1.1000000000000001</v>
      </c>
      <c r="L29" s="8">
        <v>1.5</v>
      </c>
      <c r="M29" s="8">
        <v>5</v>
      </c>
      <c r="N29" s="9">
        <v>0.13600000000000001</v>
      </c>
    </row>
    <row r="30" spans="1:14" x14ac:dyDescent="0.25">
      <c r="A30" t="s">
        <v>106</v>
      </c>
      <c r="B30">
        <v>1997</v>
      </c>
      <c r="C30" t="s">
        <v>92</v>
      </c>
      <c r="D30">
        <v>21</v>
      </c>
      <c r="E30" t="s">
        <v>93</v>
      </c>
      <c r="F30">
        <v>82</v>
      </c>
      <c r="G30" s="7">
        <v>39.1</v>
      </c>
      <c r="H30" s="8">
        <v>21.1</v>
      </c>
      <c r="I30" s="8">
        <v>11.9</v>
      </c>
      <c r="J30" s="8">
        <v>2.7</v>
      </c>
      <c r="K30" s="8">
        <v>0.7</v>
      </c>
      <c r="L30" s="8">
        <v>2.5</v>
      </c>
      <c r="M30" s="8">
        <v>12.8</v>
      </c>
      <c r="N30" s="9">
        <v>0.192</v>
      </c>
    </row>
    <row r="31" spans="1:14" x14ac:dyDescent="0.25">
      <c r="A31" t="s">
        <v>109</v>
      </c>
      <c r="B31">
        <v>1996</v>
      </c>
      <c r="C31" t="s">
        <v>98</v>
      </c>
      <c r="D31">
        <v>21</v>
      </c>
      <c r="E31" t="s">
        <v>36</v>
      </c>
      <c r="F31">
        <v>76</v>
      </c>
      <c r="G31" s="7">
        <v>40.1</v>
      </c>
      <c r="H31" s="8">
        <v>23.5</v>
      </c>
      <c r="I31" s="8">
        <v>4.0999999999999996</v>
      </c>
      <c r="J31" s="8">
        <v>7.5</v>
      </c>
      <c r="K31" s="8">
        <v>2.1</v>
      </c>
      <c r="L31" s="8">
        <v>0.3</v>
      </c>
      <c r="M31" s="8">
        <v>4.0999999999999996</v>
      </c>
      <c r="N31" s="9">
        <v>6.5000000000000002E-2</v>
      </c>
    </row>
    <row r="32" spans="1:14" x14ac:dyDescent="0.25">
      <c r="A32" t="s">
        <v>111</v>
      </c>
      <c r="B32">
        <v>1995</v>
      </c>
      <c r="C32" t="s">
        <v>256</v>
      </c>
      <c r="D32">
        <v>22</v>
      </c>
      <c r="E32" t="s">
        <v>228</v>
      </c>
      <c r="F32">
        <v>70</v>
      </c>
      <c r="G32" s="7">
        <v>40.9</v>
      </c>
      <c r="H32" s="8">
        <v>19</v>
      </c>
      <c r="I32" s="8">
        <v>4</v>
      </c>
      <c r="J32" s="8">
        <v>9.3000000000000007</v>
      </c>
      <c r="K32" s="8">
        <v>1.4</v>
      </c>
      <c r="L32" s="8">
        <v>0.3</v>
      </c>
      <c r="M32" s="8">
        <v>4.3</v>
      </c>
      <c r="N32" s="9">
        <v>7.1999999999999995E-2</v>
      </c>
    </row>
    <row r="33" spans="1:14" x14ac:dyDescent="0.25">
      <c r="A33" t="s">
        <v>112</v>
      </c>
      <c r="B33">
        <v>1994</v>
      </c>
      <c r="C33" t="s">
        <v>257</v>
      </c>
      <c r="D33">
        <v>21</v>
      </c>
      <c r="E33" t="s">
        <v>80</v>
      </c>
      <c r="F33">
        <v>79</v>
      </c>
      <c r="G33" s="7">
        <v>33.799999999999997</v>
      </c>
      <c r="H33" s="8">
        <v>11.7</v>
      </c>
      <c r="I33" s="8">
        <v>5.4</v>
      </c>
      <c r="J33" s="8">
        <v>7.7</v>
      </c>
      <c r="K33" s="8">
        <v>1.9</v>
      </c>
      <c r="L33" s="8">
        <v>0.3</v>
      </c>
      <c r="M33" s="8">
        <v>3.7</v>
      </c>
      <c r="N33" s="9">
        <v>6.6000000000000003E-2</v>
      </c>
    </row>
    <row r="34" spans="1:14" x14ac:dyDescent="0.25">
      <c r="A34" t="s">
        <v>112</v>
      </c>
      <c r="B34">
        <v>1994</v>
      </c>
      <c r="C34" t="s">
        <v>258</v>
      </c>
      <c r="D34">
        <v>22</v>
      </c>
      <c r="E34" t="s">
        <v>194</v>
      </c>
      <c r="F34">
        <v>70</v>
      </c>
      <c r="G34" s="7">
        <v>38.299999999999997</v>
      </c>
      <c r="H34" s="8">
        <v>19.899999999999999</v>
      </c>
      <c r="I34" s="8">
        <v>6.4</v>
      </c>
      <c r="J34" s="8">
        <v>5</v>
      </c>
      <c r="K34" s="8">
        <v>1.8</v>
      </c>
      <c r="L34" s="8">
        <v>0.9</v>
      </c>
      <c r="M34" s="8">
        <v>5.4</v>
      </c>
      <c r="N34" s="9">
        <v>9.7000000000000003E-2</v>
      </c>
    </row>
    <row r="35" spans="1:14" x14ac:dyDescent="0.25">
      <c r="A35" t="s">
        <v>115</v>
      </c>
      <c r="B35">
        <v>1993</v>
      </c>
      <c r="C35" t="s">
        <v>259</v>
      </c>
      <c r="D35">
        <v>20</v>
      </c>
      <c r="E35" t="s">
        <v>54</v>
      </c>
      <c r="F35">
        <v>76</v>
      </c>
      <c r="G35" s="7">
        <v>32.1</v>
      </c>
      <c r="H35" s="8">
        <v>17.5</v>
      </c>
      <c r="I35" s="8">
        <v>9.1</v>
      </c>
      <c r="J35" s="8">
        <v>3.6</v>
      </c>
      <c r="K35" s="8">
        <v>1.2</v>
      </c>
      <c r="L35" s="8">
        <v>2.2000000000000002</v>
      </c>
      <c r="M35" s="8">
        <v>7.8</v>
      </c>
      <c r="N35" s="9">
        <v>0.154</v>
      </c>
    </row>
    <row r="36" spans="1:14" x14ac:dyDescent="0.25">
      <c r="A36" t="s">
        <v>118</v>
      </c>
      <c r="B36">
        <v>1992</v>
      </c>
      <c r="C36" t="s">
        <v>101</v>
      </c>
      <c r="D36">
        <v>20</v>
      </c>
      <c r="E36" t="s">
        <v>191</v>
      </c>
      <c r="F36">
        <v>81</v>
      </c>
      <c r="G36" s="7">
        <v>37.9</v>
      </c>
      <c r="H36" s="8">
        <v>23.4</v>
      </c>
      <c r="I36" s="8">
        <v>13.9</v>
      </c>
      <c r="J36" s="8">
        <v>1.9</v>
      </c>
      <c r="K36" s="8">
        <v>0.7</v>
      </c>
      <c r="L36" s="8">
        <v>3.5</v>
      </c>
      <c r="M36" s="8">
        <v>10.4</v>
      </c>
      <c r="N36" s="9">
        <v>0.16300000000000001</v>
      </c>
    </row>
    <row r="37" spans="1:14" x14ac:dyDescent="0.25">
      <c r="A37" t="s">
        <v>121</v>
      </c>
      <c r="B37">
        <v>1991</v>
      </c>
      <c r="C37" t="s">
        <v>260</v>
      </c>
      <c r="D37">
        <v>22</v>
      </c>
      <c r="E37" t="s">
        <v>261</v>
      </c>
      <c r="F37">
        <v>82</v>
      </c>
      <c r="G37" s="7">
        <v>37.200000000000003</v>
      </c>
      <c r="H37" s="8">
        <v>19.2</v>
      </c>
      <c r="I37" s="8">
        <v>11</v>
      </c>
      <c r="J37" s="8">
        <v>3.6</v>
      </c>
      <c r="K37" s="8">
        <v>1</v>
      </c>
      <c r="L37" s="8">
        <v>0.6</v>
      </c>
      <c r="M37" s="8">
        <v>8.9</v>
      </c>
      <c r="N37" s="9">
        <v>0.14000000000000001</v>
      </c>
    </row>
    <row r="38" spans="1:14" x14ac:dyDescent="0.25">
      <c r="A38" t="s">
        <v>122</v>
      </c>
      <c r="B38">
        <v>1990</v>
      </c>
      <c r="C38" t="s">
        <v>262</v>
      </c>
      <c r="D38">
        <v>23</v>
      </c>
      <c r="E38" t="s">
        <v>263</v>
      </c>
      <c r="F38">
        <v>74</v>
      </c>
      <c r="G38" s="7">
        <v>35.200000000000003</v>
      </c>
      <c r="H38" s="8">
        <v>18.399999999999999</v>
      </c>
      <c r="I38" s="8">
        <v>10.3</v>
      </c>
      <c r="J38" s="8">
        <v>2.2000000000000002</v>
      </c>
      <c r="K38" s="8">
        <v>1</v>
      </c>
      <c r="L38" s="8">
        <v>1.3</v>
      </c>
      <c r="M38" s="8">
        <v>5.8</v>
      </c>
      <c r="N38" s="9">
        <v>0.108</v>
      </c>
    </row>
    <row r="39" spans="1:14" x14ac:dyDescent="0.25">
      <c r="A39" t="s">
        <v>124</v>
      </c>
      <c r="B39">
        <v>1989</v>
      </c>
      <c r="C39" t="s">
        <v>113</v>
      </c>
      <c r="D39">
        <v>24</v>
      </c>
      <c r="E39" t="s">
        <v>93</v>
      </c>
      <c r="F39">
        <v>82</v>
      </c>
      <c r="G39" s="7">
        <v>36.6</v>
      </c>
      <c r="H39" s="8">
        <v>24.3</v>
      </c>
      <c r="I39" s="8">
        <v>12</v>
      </c>
      <c r="J39" s="8">
        <v>2</v>
      </c>
      <c r="K39" s="8">
        <v>1.7</v>
      </c>
      <c r="L39" s="8">
        <v>3.9</v>
      </c>
      <c r="M39" s="8">
        <v>15.1</v>
      </c>
      <c r="N39" s="9">
        <v>0.24099999999999999</v>
      </c>
    </row>
  </sheetData>
  <phoneticPr fontId="2" type="noConversion"/>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44EF5-9C9A-4EC5-8EAF-589CAA63B0A6}">
  <dimension ref="A3:G8"/>
  <sheetViews>
    <sheetView showGridLines="0" topLeftCell="A13" workbookViewId="0">
      <selection activeCell="N44" sqref="N44"/>
    </sheetView>
  </sheetViews>
  <sheetFormatPr defaultRowHeight="15" x14ac:dyDescent="0.25"/>
  <cols>
    <col min="1" max="1" width="18" bestFit="1" customWidth="1"/>
    <col min="2" max="2" width="13.140625" bestFit="1" customWidth="1"/>
    <col min="3" max="4" width="13.28515625" bestFit="1" customWidth="1"/>
    <col min="5" max="5" width="14" bestFit="1" customWidth="1"/>
    <col min="6" max="6" width="12.85546875" bestFit="1" customWidth="1"/>
    <col min="7" max="7" width="15.85546875" bestFit="1" customWidth="1"/>
  </cols>
  <sheetData>
    <row r="3" spans="1:7" x14ac:dyDescent="0.25">
      <c r="A3" s="1" t="s">
        <v>164</v>
      </c>
      <c r="B3" t="s">
        <v>170</v>
      </c>
      <c r="C3" t="s">
        <v>171</v>
      </c>
      <c r="D3" t="s">
        <v>172</v>
      </c>
      <c r="E3" t="s">
        <v>173</v>
      </c>
      <c r="F3" t="s">
        <v>174</v>
      </c>
      <c r="G3" t="s">
        <v>175</v>
      </c>
    </row>
    <row r="4" spans="1:7" x14ac:dyDescent="0.25">
      <c r="A4" s="4" t="s">
        <v>166</v>
      </c>
      <c r="B4">
        <v>27.47</v>
      </c>
      <c r="C4">
        <v>8.5599999999999987</v>
      </c>
      <c r="D4">
        <v>5.1100000000000003</v>
      </c>
      <c r="E4">
        <v>0.51190000000000002</v>
      </c>
      <c r="F4">
        <v>16.32</v>
      </c>
      <c r="G4">
        <v>0.26650000000000001</v>
      </c>
    </row>
    <row r="5" spans="1:7" x14ac:dyDescent="0.25">
      <c r="A5" s="4" t="s">
        <v>167</v>
      </c>
      <c r="B5">
        <v>24.94</v>
      </c>
      <c r="C5">
        <v>8.7199999999999989</v>
      </c>
      <c r="D5">
        <v>5.9</v>
      </c>
      <c r="E5">
        <v>0.49779999999999996</v>
      </c>
      <c r="F5">
        <v>15.669999999999998</v>
      </c>
      <c r="G5">
        <v>0.24689999999999998</v>
      </c>
    </row>
    <row r="6" spans="1:7" x14ac:dyDescent="0.25">
      <c r="A6" s="4" t="s">
        <v>168</v>
      </c>
      <c r="B6">
        <v>28.419999999999998</v>
      </c>
      <c r="C6">
        <v>7.2999999999999989</v>
      </c>
      <c r="D6">
        <v>7.4799999999999995</v>
      </c>
      <c r="E6">
        <v>0.499</v>
      </c>
      <c r="F6">
        <v>16.11</v>
      </c>
      <c r="G6">
        <v>0.2833</v>
      </c>
    </row>
    <row r="7" spans="1:7" x14ac:dyDescent="0.25">
      <c r="A7" s="4" t="s">
        <v>169</v>
      </c>
      <c r="B7">
        <v>29.200000000000003</v>
      </c>
      <c r="C7">
        <v>10.966666666666667</v>
      </c>
      <c r="D7">
        <v>6.8999999999999995</v>
      </c>
      <c r="E7">
        <v>0.55866666666666653</v>
      </c>
      <c r="F7">
        <v>14.649999999999999</v>
      </c>
      <c r="G7">
        <v>0.29049999999999998</v>
      </c>
    </row>
    <row r="8" spans="1:7" x14ac:dyDescent="0.25">
      <c r="A8" s="4" t="s">
        <v>165</v>
      </c>
      <c r="B8">
        <v>27.319444444444446</v>
      </c>
      <c r="C8">
        <v>8.6555555555555568</v>
      </c>
      <c r="D8">
        <v>6.2861111111111105</v>
      </c>
      <c r="E8">
        <v>0.51219444444444429</v>
      </c>
      <c r="F8">
        <v>15.802777777777781</v>
      </c>
      <c r="G8">
        <v>0.26972222222222225</v>
      </c>
    </row>
  </sheetData>
  <pageMargins left="0.511811024" right="0.511811024" top="0.78740157499999996" bottom="0.78740157499999996" header="0.31496062000000002" footer="0.31496062000000002"/>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36DE-987B-494B-A547-E0B3FA6EDB93}">
  <dimension ref="A1:F6"/>
  <sheetViews>
    <sheetView showGridLines="0" topLeftCell="A7" workbookViewId="0">
      <selection activeCell="H43" sqref="H43"/>
    </sheetView>
  </sheetViews>
  <sheetFormatPr defaultRowHeight="15" x14ac:dyDescent="0.25"/>
  <cols>
    <col min="1" max="1" width="18" bestFit="1" customWidth="1"/>
    <col min="2" max="2" width="13.28515625" bestFit="1" customWidth="1"/>
    <col min="3" max="3" width="12.7109375" bestFit="1" customWidth="1"/>
    <col min="4" max="4" width="13.140625" bestFit="1" customWidth="1"/>
    <col min="5" max="5" width="12.85546875" bestFit="1" customWidth="1"/>
    <col min="6" max="6" width="15.85546875" bestFit="1" customWidth="1"/>
  </cols>
  <sheetData>
    <row r="1" spans="1:6" x14ac:dyDescent="0.25">
      <c r="A1" s="1" t="s">
        <v>164</v>
      </c>
      <c r="B1" t="s">
        <v>171</v>
      </c>
      <c r="C1" t="s">
        <v>204</v>
      </c>
      <c r="D1" t="s">
        <v>205</v>
      </c>
      <c r="E1" t="s">
        <v>174</v>
      </c>
      <c r="F1" t="s">
        <v>175</v>
      </c>
    </row>
    <row r="2" spans="1:6" x14ac:dyDescent="0.25">
      <c r="A2" s="4" t="s">
        <v>207</v>
      </c>
      <c r="B2">
        <v>11</v>
      </c>
      <c r="C2">
        <v>1.2200000000000002</v>
      </c>
      <c r="D2">
        <v>2.8499999999999996</v>
      </c>
      <c r="E2" s="8">
        <v>11.22</v>
      </c>
      <c r="F2" s="9">
        <v>0.19290859302653546</v>
      </c>
    </row>
    <row r="3" spans="1:6" x14ac:dyDescent="0.25">
      <c r="A3" s="4" t="s">
        <v>208</v>
      </c>
      <c r="B3">
        <v>11.49</v>
      </c>
      <c r="C3">
        <v>1.2899999999999998</v>
      </c>
      <c r="D3">
        <v>2.59</v>
      </c>
      <c r="E3" s="8">
        <v>10.41</v>
      </c>
      <c r="F3" s="9">
        <v>0.18601101635862646</v>
      </c>
    </row>
    <row r="4" spans="1:6" x14ac:dyDescent="0.25">
      <c r="A4" s="4" t="s">
        <v>209</v>
      </c>
      <c r="B4">
        <v>10.18</v>
      </c>
      <c r="C4">
        <v>1.31</v>
      </c>
      <c r="D4">
        <v>1.7600000000000002</v>
      </c>
      <c r="E4" s="8">
        <v>11.280000000000001</v>
      </c>
      <c r="F4" s="9">
        <v>0.21881402908316247</v>
      </c>
    </row>
    <row r="5" spans="1:6" x14ac:dyDescent="0.25">
      <c r="A5" s="4" t="s">
        <v>210</v>
      </c>
      <c r="B5">
        <v>9.9833333333333343</v>
      </c>
      <c r="C5">
        <v>0.98333333333333328</v>
      </c>
      <c r="D5">
        <v>1.7833333333333332</v>
      </c>
      <c r="E5" s="8">
        <v>9.2000000000000011</v>
      </c>
      <c r="F5" s="9">
        <v>0.2058070883272676</v>
      </c>
    </row>
    <row r="6" spans="1:6" x14ac:dyDescent="0.25">
      <c r="A6" s="4" t="s">
        <v>165</v>
      </c>
      <c r="B6">
        <v>10.738888888888889</v>
      </c>
      <c r="C6">
        <v>1.2250000000000001</v>
      </c>
      <c r="D6">
        <v>2.2972222222222221</v>
      </c>
      <c r="E6" s="8">
        <v>10.675000000000002</v>
      </c>
      <c r="F6" s="7">
        <v>0.20033830318463475</v>
      </c>
    </row>
  </sheetData>
  <pageMargins left="0.511811024" right="0.511811024" top="0.78740157499999996" bottom="0.78740157499999996" header="0.31496062000000002" footer="0.31496062000000002"/>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F4FCB-A851-4452-A654-D009292EF0E0}">
  <dimension ref="A1:C6"/>
  <sheetViews>
    <sheetView showGridLines="0" workbookViewId="0">
      <selection activeCell="G25" sqref="G25"/>
    </sheetView>
  </sheetViews>
  <sheetFormatPr defaultRowHeight="15" x14ac:dyDescent="0.25"/>
  <cols>
    <col min="1" max="1" width="18" bestFit="1" customWidth="1"/>
    <col min="2" max="2" width="12.85546875" bestFit="1" customWidth="1"/>
    <col min="3" max="3" width="15.85546875" bestFit="1" customWidth="1"/>
    <col min="4" max="8" width="12.7109375" bestFit="1" customWidth="1"/>
  </cols>
  <sheetData>
    <row r="1" spans="1:3" x14ac:dyDescent="0.25">
      <c r="A1" s="1" t="s">
        <v>164</v>
      </c>
      <c r="B1" t="s">
        <v>174</v>
      </c>
      <c r="C1" t="s">
        <v>175</v>
      </c>
    </row>
    <row r="2" spans="1:3" x14ac:dyDescent="0.25">
      <c r="A2" s="2" t="s">
        <v>207</v>
      </c>
      <c r="B2" s="8">
        <v>7.5727272727272714</v>
      </c>
      <c r="C2" s="9">
        <v>0.13036363636363638</v>
      </c>
    </row>
    <row r="3" spans="1:3" x14ac:dyDescent="0.25">
      <c r="A3" s="2" t="s">
        <v>208</v>
      </c>
      <c r="B3" s="8">
        <v>5.8636363636363633</v>
      </c>
      <c r="C3" s="9">
        <v>0.10336363636363637</v>
      </c>
    </row>
    <row r="4" spans="1:3" x14ac:dyDescent="0.25">
      <c r="A4" s="2" t="s">
        <v>209</v>
      </c>
      <c r="B4" s="8">
        <v>5.5000000000000009</v>
      </c>
      <c r="C4" s="9">
        <v>0.1036</v>
      </c>
    </row>
    <row r="5" spans="1:3" x14ac:dyDescent="0.25">
      <c r="A5" s="2" t="s">
        <v>210</v>
      </c>
      <c r="B5" s="8">
        <v>3.4000000000000004</v>
      </c>
      <c r="C5" s="9">
        <v>7.6666666666666661E-2</v>
      </c>
    </row>
    <row r="6" spans="1:3" x14ac:dyDescent="0.25">
      <c r="A6" s="2" t="s">
        <v>165</v>
      </c>
      <c r="B6" s="8">
        <v>5.8736842105263172</v>
      </c>
      <c r="C6" s="9">
        <v>0.10702631578947369</v>
      </c>
    </row>
  </sheetData>
  <pageMargins left="0.511811024" right="0.511811024" top="0.78740157499999996" bottom="0.78740157499999996" header="0.31496062000000002" footer="0.31496062000000002"/>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12EBE-CF70-4F00-AD6E-A212E0BE71BB}">
  <dimension ref="A1:C38"/>
  <sheetViews>
    <sheetView showGridLines="0" workbookViewId="0">
      <selection activeCell="A2" sqref="A2"/>
    </sheetView>
  </sheetViews>
  <sheetFormatPr defaultRowHeight="15" x14ac:dyDescent="0.25"/>
  <cols>
    <col min="1" max="1" width="18" bestFit="1" customWidth="1"/>
    <col min="2" max="2" width="12.85546875" bestFit="1" customWidth="1"/>
    <col min="3" max="3" width="15.85546875" bestFit="1" customWidth="1"/>
    <col min="4" max="4" width="13.140625" bestFit="1" customWidth="1"/>
    <col min="5" max="5" width="12.85546875" bestFit="1" customWidth="1"/>
    <col min="6" max="6" width="15.85546875" bestFit="1" customWidth="1"/>
  </cols>
  <sheetData>
    <row r="1" spans="1:3" x14ac:dyDescent="0.25">
      <c r="A1" s="1" t="s">
        <v>164</v>
      </c>
      <c r="B1" t="s">
        <v>174</v>
      </c>
      <c r="C1" t="s">
        <v>175</v>
      </c>
    </row>
    <row r="2" spans="1:3" x14ac:dyDescent="0.25">
      <c r="A2" s="4">
        <v>1989</v>
      </c>
      <c r="B2">
        <v>9.3000000000000007</v>
      </c>
      <c r="C2" s="7">
        <v>0.18772077375946175</v>
      </c>
    </row>
    <row r="3" spans="1:3" x14ac:dyDescent="0.25">
      <c r="A3" s="4">
        <v>1990</v>
      </c>
      <c r="B3">
        <v>8.6999999999999993</v>
      </c>
      <c r="C3" s="7">
        <v>0.15202038587550054</v>
      </c>
    </row>
    <row r="4" spans="1:3" x14ac:dyDescent="0.25">
      <c r="A4" s="4">
        <v>1991</v>
      </c>
      <c r="B4">
        <v>13.9</v>
      </c>
      <c r="C4" s="7">
        <v>0.26025901076611013</v>
      </c>
    </row>
    <row r="5" spans="1:3" x14ac:dyDescent="0.25">
      <c r="A5" s="4">
        <v>1992</v>
      </c>
      <c r="B5">
        <v>15.8</v>
      </c>
      <c r="C5" s="7">
        <v>0.23414634146341468</v>
      </c>
    </row>
    <row r="6" spans="1:3" x14ac:dyDescent="0.25">
      <c r="A6" s="4">
        <v>1993</v>
      </c>
      <c r="B6">
        <v>14.3</v>
      </c>
      <c r="C6" s="7">
        <v>0.20926829268292685</v>
      </c>
    </row>
    <row r="7" spans="1:3" x14ac:dyDescent="0.25">
      <c r="A7" s="4">
        <v>1994</v>
      </c>
      <c r="B7">
        <v>8.6999999999999993</v>
      </c>
      <c r="C7" s="7">
        <v>0.13472706155632985</v>
      </c>
    </row>
    <row r="8" spans="1:3" x14ac:dyDescent="0.25">
      <c r="A8" s="4">
        <v>1995</v>
      </c>
      <c r="B8">
        <v>11.5</v>
      </c>
      <c r="C8" s="7">
        <v>0.17473884140550808</v>
      </c>
    </row>
    <row r="9" spans="1:3" x14ac:dyDescent="0.25">
      <c r="A9" s="4">
        <v>1996</v>
      </c>
      <c r="B9">
        <v>11.3</v>
      </c>
      <c r="C9" s="7">
        <v>0.18225806451612905</v>
      </c>
    </row>
    <row r="10" spans="1:3" x14ac:dyDescent="0.25">
      <c r="A10" s="4">
        <v>1997</v>
      </c>
      <c r="B10">
        <v>10.8</v>
      </c>
      <c r="C10" s="7">
        <v>0.17758289942449987</v>
      </c>
    </row>
    <row r="11" spans="1:3" x14ac:dyDescent="0.25">
      <c r="A11" s="4">
        <v>1998</v>
      </c>
      <c r="B11">
        <v>7.9</v>
      </c>
      <c r="C11" s="7">
        <v>0.21636425881547416</v>
      </c>
    </row>
    <row r="12" spans="1:3" x14ac:dyDescent="0.25">
      <c r="A12" s="4">
        <v>1999</v>
      </c>
      <c r="B12">
        <v>12.9</v>
      </c>
      <c r="C12" s="7">
        <v>0.22522915757311221</v>
      </c>
    </row>
    <row r="13" spans="1:3" x14ac:dyDescent="0.25">
      <c r="A13" s="4">
        <v>2000</v>
      </c>
      <c r="B13">
        <v>8.1</v>
      </c>
      <c r="C13" s="7">
        <v>0.15026086956521736</v>
      </c>
    </row>
    <row r="14" spans="1:3" x14ac:dyDescent="0.25">
      <c r="A14" s="4">
        <v>2001</v>
      </c>
      <c r="B14">
        <v>11.6</v>
      </c>
      <c r="C14" s="7">
        <v>0.19068493150684929</v>
      </c>
    </row>
    <row r="15" spans="1:3" x14ac:dyDescent="0.25">
      <c r="A15" s="4">
        <v>2002</v>
      </c>
      <c r="B15">
        <v>10.6</v>
      </c>
      <c r="C15" s="7">
        <v>0.17690007648981293</v>
      </c>
    </row>
    <row r="16" spans="1:3" x14ac:dyDescent="0.25">
      <c r="A16" s="4">
        <v>2003</v>
      </c>
      <c r="B16">
        <v>8</v>
      </c>
      <c r="C16" s="7">
        <v>0.14140521431727793</v>
      </c>
    </row>
    <row r="17" spans="1:3" x14ac:dyDescent="0.25">
      <c r="A17" s="4">
        <v>2004</v>
      </c>
      <c r="B17">
        <v>8.5</v>
      </c>
      <c r="C17" s="7">
        <v>0.15272890619151006</v>
      </c>
    </row>
    <row r="18" spans="1:3" x14ac:dyDescent="0.25">
      <c r="A18" s="4">
        <v>2005</v>
      </c>
      <c r="B18">
        <v>10.1</v>
      </c>
      <c r="C18" s="7">
        <v>0.16796008869179599</v>
      </c>
    </row>
    <row r="19" spans="1:3" x14ac:dyDescent="0.25">
      <c r="A19" s="4">
        <v>2006</v>
      </c>
      <c r="B19">
        <v>7.6</v>
      </c>
      <c r="C19" s="7">
        <v>0.15418427726120032</v>
      </c>
    </row>
    <row r="20" spans="1:3" x14ac:dyDescent="0.25">
      <c r="A20" s="4">
        <v>2007</v>
      </c>
      <c r="B20">
        <v>12.9</v>
      </c>
      <c r="C20" s="7">
        <v>0.26588801099278603</v>
      </c>
    </row>
    <row r="21" spans="1:3" x14ac:dyDescent="0.25">
      <c r="A21" s="4">
        <v>2008</v>
      </c>
      <c r="B21">
        <v>13.8</v>
      </c>
      <c r="C21" s="7">
        <v>0.23486863099670249</v>
      </c>
    </row>
    <row r="22" spans="1:3" x14ac:dyDescent="0.25">
      <c r="A22" s="4">
        <v>2009</v>
      </c>
      <c r="B22">
        <v>13.2</v>
      </c>
      <c r="C22" s="7">
        <v>0.22267519505166231</v>
      </c>
    </row>
    <row r="23" spans="1:3" x14ac:dyDescent="0.25">
      <c r="A23" s="4">
        <v>2010</v>
      </c>
      <c r="B23">
        <v>14.4</v>
      </c>
      <c r="C23" s="7">
        <v>0.23567921440261866</v>
      </c>
    </row>
    <row r="24" spans="1:3" x14ac:dyDescent="0.25">
      <c r="A24" s="4">
        <v>2011</v>
      </c>
      <c r="B24">
        <v>9.5</v>
      </c>
      <c r="C24" s="7">
        <v>0.22153128643606684</v>
      </c>
    </row>
    <row r="25" spans="1:3" x14ac:dyDescent="0.25">
      <c r="A25" s="4">
        <v>2012</v>
      </c>
      <c r="B25">
        <v>11.5</v>
      </c>
      <c r="C25" s="7">
        <v>0.19714285714285715</v>
      </c>
    </row>
    <row r="26" spans="1:3" x14ac:dyDescent="0.25">
      <c r="A26" s="4">
        <v>2013</v>
      </c>
      <c r="B26">
        <v>11.2</v>
      </c>
      <c r="C26" s="7">
        <v>0.19036827195467418</v>
      </c>
    </row>
    <row r="27" spans="1:3" x14ac:dyDescent="0.25">
      <c r="A27" s="4">
        <v>2014</v>
      </c>
      <c r="B27">
        <v>8.6</v>
      </c>
      <c r="C27" s="7">
        <v>0.20283018867924527</v>
      </c>
    </row>
    <row r="28" spans="1:3" x14ac:dyDescent="0.25">
      <c r="A28" s="4">
        <v>2015</v>
      </c>
      <c r="B28">
        <v>13.7</v>
      </c>
      <c r="C28" s="7">
        <v>0.27593152064451149</v>
      </c>
    </row>
    <row r="29" spans="1:3" x14ac:dyDescent="0.25">
      <c r="A29" s="4">
        <v>2016</v>
      </c>
      <c r="B29">
        <v>8.1999999999999993</v>
      </c>
      <c r="C29" s="7">
        <v>0.15935222672064775</v>
      </c>
    </row>
    <row r="30" spans="1:3" x14ac:dyDescent="0.25">
      <c r="A30" s="4">
        <v>2017</v>
      </c>
      <c r="B30">
        <v>8.1</v>
      </c>
      <c r="C30" s="7">
        <v>0.21428571428571427</v>
      </c>
    </row>
    <row r="31" spans="1:3" x14ac:dyDescent="0.25">
      <c r="A31" s="4">
        <v>2018</v>
      </c>
      <c r="B31">
        <v>14.4</v>
      </c>
      <c r="C31" s="7">
        <v>0.26834381551362685</v>
      </c>
    </row>
    <row r="32" spans="1:3" x14ac:dyDescent="0.25">
      <c r="A32" s="4">
        <v>2019</v>
      </c>
      <c r="B32">
        <v>11.1</v>
      </c>
      <c r="C32" s="7">
        <v>0.2781954887218045</v>
      </c>
    </row>
    <row r="33" spans="1:3" x14ac:dyDescent="0.25">
      <c r="A33" s="4">
        <v>2020</v>
      </c>
      <c r="B33">
        <v>11.3</v>
      </c>
      <c r="C33" s="7">
        <v>0.24803365648436074</v>
      </c>
    </row>
    <row r="34" spans="1:3" x14ac:dyDescent="0.25">
      <c r="A34" s="4">
        <v>2021</v>
      </c>
      <c r="B34">
        <v>5.6</v>
      </c>
      <c r="C34" s="7">
        <v>0.11721100597392403</v>
      </c>
    </row>
    <row r="35" spans="1:3" x14ac:dyDescent="0.25">
      <c r="A35" s="4">
        <v>2022</v>
      </c>
      <c r="B35">
        <v>6.6</v>
      </c>
      <c r="C35" s="7">
        <v>0.17706237424547283</v>
      </c>
    </row>
    <row r="36" spans="1:3" x14ac:dyDescent="0.25">
      <c r="A36" s="4">
        <v>2023</v>
      </c>
      <c r="B36">
        <v>11.6</v>
      </c>
      <c r="C36" s="7">
        <v>0.21484797036579717</v>
      </c>
    </row>
    <row r="37" spans="1:3" x14ac:dyDescent="0.25">
      <c r="A37" s="4">
        <v>2024</v>
      </c>
      <c r="B37">
        <v>9</v>
      </c>
      <c r="C37" s="7">
        <v>0.19949203417224659</v>
      </c>
    </row>
    <row r="38" spans="1:3" x14ac:dyDescent="0.25">
      <c r="A38" s="4" t="s">
        <v>165</v>
      </c>
      <c r="B38">
        <v>10.675000000000002</v>
      </c>
      <c r="C38" s="7">
        <v>0.20033830318463475</v>
      </c>
    </row>
  </sheetData>
  <pageMargins left="0.511811024" right="0.511811024" top="0.78740157499999996" bottom="0.78740157499999996" header="0.31496062000000002" footer="0.31496062000000002"/>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24CA-49FE-452C-999D-728B85B16D2F}">
  <dimension ref="A1:K37"/>
  <sheetViews>
    <sheetView workbookViewId="0">
      <selection activeCell="J9" sqref="J9"/>
    </sheetView>
  </sheetViews>
  <sheetFormatPr defaultRowHeight="15" x14ac:dyDescent="0.25"/>
  <cols>
    <col min="10" max="10" width="21.42578125" bestFit="1" customWidth="1"/>
    <col min="11" max="11" width="24.42578125" bestFit="1" customWidth="1"/>
  </cols>
  <sheetData>
    <row r="1" spans="1:11" x14ac:dyDescent="0.25">
      <c r="A1" t="s">
        <v>127</v>
      </c>
      <c r="B1" t="s">
        <v>14</v>
      </c>
      <c r="C1" t="s">
        <v>15</v>
      </c>
      <c r="D1" t="s">
        <v>16</v>
      </c>
      <c r="E1" t="s">
        <v>19</v>
      </c>
      <c r="F1" t="s">
        <v>22</v>
      </c>
      <c r="G1" t="s">
        <v>23</v>
      </c>
      <c r="I1" t="s">
        <v>298</v>
      </c>
      <c r="J1" t="s">
        <v>299</v>
      </c>
      <c r="K1" t="s">
        <v>300</v>
      </c>
    </row>
    <row r="2" spans="1:11" x14ac:dyDescent="0.25">
      <c r="A2">
        <v>2024</v>
      </c>
      <c r="B2">
        <v>32.700000000000003</v>
      </c>
      <c r="C2">
        <v>5</v>
      </c>
      <c r="D2">
        <v>6.4</v>
      </c>
      <c r="E2">
        <v>0.51900000000000002</v>
      </c>
      <c r="F2">
        <v>16.7</v>
      </c>
      <c r="G2">
        <v>0.309</v>
      </c>
      <c r="I2" t="s">
        <v>14</v>
      </c>
      <c r="J2" s="14">
        <v>0.319465887557353</v>
      </c>
      <c r="K2" s="14">
        <v>0.37289605835674122</v>
      </c>
    </row>
    <row r="3" spans="1:11" x14ac:dyDescent="0.25">
      <c r="A3">
        <v>2023</v>
      </c>
      <c r="B3">
        <v>26.4</v>
      </c>
      <c r="C3">
        <v>12.4</v>
      </c>
      <c r="D3">
        <v>9</v>
      </c>
      <c r="E3">
        <v>0.58299999999999996</v>
      </c>
      <c r="F3">
        <v>17</v>
      </c>
      <c r="G3">
        <v>0.29899999999999999</v>
      </c>
      <c r="I3" t="s">
        <v>15</v>
      </c>
      <c r="J3" s="14">
        <v>5.5115251756856359E-2</v>
      </c>
      <c r="K3" s="14">
        <v>0.13988248805926498</v>
      </c>
    </row>
    <row r="4" spans="1:11" x14ac:dyDescent="0.25">
      <c r="A4">
        <v>2022</v>
      </c>
      <c r="B4">
        <v>33.1</v>
      </c>
      <c r="C4">
        <v>10.199999999999999</v>
      </c>
      <c r="D4">
        <v>4.2</v>
      </c>
      <c r="E4">
        <v>0.54800000000000004</v>
      </c>
      <c r="F4">
        <v>12.3</v>
      </c>
      <c r="G4">
        <v>0.25900000000000001</v>
      </c>
      <c r="I4" t="s">
        <v>16</v>
      </c>
      <c r="J4" s="14">
        <v>-0.16224382696492695</v>
      </c>
      <c r="K4" s="14">
        <v>-1.2637330405584129E-2</v>
      </c>
    </row>
    <row r="5" spans="1:11" x14ac:dyDescent="0.25">
      <c r="A5">
        <v>2021</v>
      </c>
      <c r="B5">
        <v>27.1</v>
      </c>
      <c r="C5">
        <v>13.8</v>
      </c>
      <c r="D5">
        <v>7.9</v>
      </c>
      <c r="E5">
        <v>0.58299999999999996</v>
      </c>
      <c r="F5">
        <v>15.2</v>
      </c>
      <c r="G5">
        <v>0.29599999999999999</v>
      </c>
      <c r="I5" t="s">
        <v>19</v>
      </c>
      <c r="J5" s="14">
        <v>0.2124177655351247</v>
      </c>
      <c r="K5" s="14">
        <v>0.50283131390320324</v>
      </c>
    </row>
    <row r="6" spans="1:11" x14ac:dyDescent="0.25">
      <c r="A6">
        <v>2020</v>
      </c>
      <c r="B6">
        <v>26.4</v>
      </c>
      <c r="C6">
        <v>10.8</v>
      </c>
      <c r="D6">
        <v>8.3000000000000007</v>
      </c>
      <c r="E6">
        <v>0.56599999999999995</v>
      </c>
      <c r="F6">
        <v>15.6</v>
      </c>
      <c r="G6">
        <v>0.30099999999999999</v>
      </c>
    </row>
    <row r="7" spans="1:11" x14ac:dyDescent="0.25">
      <c r="A7">
        <v>2019</v>
      </c>
      <c r="B7">
        <v>29.5</v>
      </c>
      <c r="C7">
        <v>13.6</v>
      </c>
      <c r="D7">
        <v>5.6</v>
      </c>
      <c r="E7">
        <v>0.55300000000000005</v>
      </c>
      <c r="F7">
        <v>11.1</v>
      </c>
      <c r="G7">
        <v>0.27900000000000003</v>
      </c>
    </row>
    <row r="8" spans="1:11" x14ac:dyDescent="0.25">
      <c r="A8">
        <v>2018</v>
      </c>
      <c r="B8">
        <v>27.7</v>
      </c>
      <c r="C8">
        <v>12.5</v>
      </c>
      <c r="D8">
        <v>5.9</v>
      </c>
      <c r="E8">
        <v>0.57799999999999996</v>
      </c>
      <c r="F8">
        <v>14.4</v>
      </c>
      <c r="G8">
        <v>0.29199999999999998</v>
      </c>
    </row>
    <row r="9" spans="1:11" x14ac:dyDescent="0.25">
      <c r="A9">
        <v>2017</v>
      </c>
      <c r="B9">
        <v>30.4</v>
      </c>
      <c r="C9">
        <v>5.4</v>
      </c>
      <c r="D9">
        <v>8.8000000000000007</v>
      </c>
      <c r="E9">
        <v>0.44900000000000001</v>
      </c>
      <c r="F9">
        <v>15.4</v>
      </c>
      <c r="G9">
        <v>0.28899999999999998</v>
      </c>
    </row>
    <row r="10" spans="1:11" x14ac:dyDescent="0.25">
      <c r="A10">
        <v>2016</v>
      </c>
      <c r="B10">
        <v>31.6</v>
      </c>
      <c r="C10">
        <v>10.7</v>
      </c>
      <c r="D10">
        <v>10.4</v>
      </c>
      <c r="E10">
        <v>0.42499999999999999</v>
      </c>
      <c r="F10">
        <v>13.1</v>
      </c>
      <c r="G10">
        <v>0.224</v>
      </c>
    </row>
    <row r="11" spans="1:11" x14ac:dyDescent="0.25">
      <c r="A11">
        <v>2015</v>
      </c>
      <c r="B11">
        <v>30.1</v>
      </c>
      <c r="C11">
        <v>5.4</v>
      </c>
      <c r="D11">
        <v>6.7</v>
      </c>
      <c r="E11">
        <v>0.504</v>
      </c>
      <c r="F11">
        <v>17.899999999999999</v>
      </c>
      <c r="G11">
        <v>0.318</v>
      </c>
    </row>
    <row r="12" spans="1:11" x14ac:dyDescent="0.25">
      <c r="A12">
        <v>2014</v>
      </c>
      <c r="B12">
        <v>23.8</v>
      </c>
      <c r="C12">
        <v>4.3</v>
      </c>
      <c r="D12">
        <v>7.7</v>
      </c>
      <c r="E12">
        <v>0.48699999999999999</v>
      </c>
      <c r="F12">
        <v>15.7</v>
      </c>
      <c r="G12">
        <v>0.28799999999999998</v>
      </c>
    </row>
    <row r="13" spans="1:11" x14ac:dyDescent="0.25">
      <c r="A13">
        <v>2013</v>
      </c>
      <c r="B13">
        <v>32</v>
      </c>
      <c r="C13">
        <v>7.4</v>
      </c>
      <c r="D13">
        <v>5.5</v>
      </c>
      <c r="E13">
        <v>0.503</v>
      </c>
      <c r="F13">
        <v>19.2</v>
      </c>
      <c r="G13">
        <v>0.29499999999999998</v>
      </c>
    </row>
    <row r="14" spans="1:11" x14ac:dyDescent="0.25">
      <c r="A14">
        <v>2012</v>
      </c>
      <c r="B14">
        <v>26.8</v>
      </c>
      <c r="C14">
        <v>8</v>
      </c>
      <c r="D14">
        <v>7.3</v>
      </c>
      <c r="E14">
        <v>0.56499999999999995</v>
      </c>
      <c r="F14">
        <v>19.3</v>
      </c>
      <c r="G14">
        <v>0.32200000000000001</v>
      </c>
    </row>
    <row r="15" spans="1:11" x14ac:dyDescent="0.25">
      <c r="A15">
        <v>2011</v>
      </c>
      <c r="B15">
        <v>27.1</v>
      </c>
      <c r="C15">
        <v>7.9</v>
      </c>
      <c r="D15">
        <v>6.2</v>
      </c>
      <c r="E15">
        <v>0.53100000000000003</v>
      </c>
      <c r="F15">
        <v>14.5</v>
      </c>
      <c r="G15">
        <v>0.29799999999999999</v>
      </c>
    </row>
    <row r="16" spans="1:11" x14ac:dyDescent="0.25">
      <c r="A16">
        <v>2010</v>
      </c>
      <c r="B16">
        <v>25</v>
      </c>
      <c r="C16">
        <v>4.0999999999999996</v>
      </c>
      <c r="D16">
        <v>7.7</v>
      </c>
      <c r="E16">
        <v>0.44500000000000001</v>
      </c>
      <c r="F16">
        <v>13.1</v>
      </c>
      <c r="G16">
        <v>0.20799999999999999</v>
      </c>
    </row>
    <row r="17" spans="1:7" x14ac:dyDescent="0.25">
      <c r="A17">
        <v>2009</v>
      </c>
      <c r="B17">
        <v>29.7</v>
      </c>
      <c r="C17">
        <v>7.3</v>
      </c>
      <c r="D17">
        <v>8.6</v>
      </c>
      <c r="E17">
        <v>0.503</v>
      </c>
      <c r="F17">
        <v>18.5</v>
      </c>
      <c r="G17">
        <v>0.29899999999999999</v>
      </c>
    </row>
    <row r="18" spans="1:7" x14ac:dyDescent="0.25">
      <c r="A18">
        <v>2008</v>
      </c>
      <c r="B18">
        <v>28.4</v>
      </c>
      <c r="C18">
        <v>7.6</v>
      </c>
      <c r="D18">
        <v>7.2</v>
      </c>
      <c r="E18">
        <v>0.48899999999999999</v>
      </c>
      <c r="F18">
        <v>20.3</v>
      </c>
      <c r="G18">
        <v>0.318</v>
      </c>
    </row>
    <row r="19" spans="1:7" x14ac:dyDescent="0.25">
      <c r="A19">
        <v>2007</v>
      </c>
      <c r="B19">
        <v>28.3</v>
      </c>
      <c r="C19">
        <v>6.3</v>
      </c>
      <c r="D19">
        <v>5.4</v>
      </c>
      <c r="E19">
        <v>0.45900000000000002</v>
      </c>
      <c r="F19">
        <v>13.8</v>
      </c>
      <c r="G19">
        <v>0.20799999999999999</v>
      </c>
    </row>
    <row r="20" spans="1:7" x14ac:dyDescent="0.25">
      <c r="A20">
        <v>2006</v>
      </c>
      <c r="B20">
        <v>24.6</v>
      </c>
      <c r="C20">
        <v>8.9</v>
      </c>
      <c r="D20">
        <v>3.4</v>
      </c>
      <c r="E20">
        <v>0.502</v>
      </c>
      <c r="F20">
        <v>16.3</v>
      </c>
      <c r="G20">
        <v>0.27800000000000002</v>
      </c>
    </row>
    <row r="21" spans="1:7" x14ac:dyDescent="0.25">
      <c r="A21">
        <v>2005</v>
      </c>
      <c r="B21">
        <v>18.8</v>
      </c>
      <c r="C21">
        <v>4.2</v>
      </c>
      <c r="D21">
        <v>10.5</v>
      </c>
      <c r="E21">
        <v>0.51200000000000001</v>
      </c>
      <c r="F21">
        <v>12.4</v>
      </c>
      <c r="G21">
        <v>0.21199999999999999</v>
      </c>
    </row>
    <row r="22" spans="1:7" x14ac:dyDescent="0.25">
      <c r="A22">
        <v>2004</v>
      </c>
      <c r="B22">
        <v>15.5</v>
      </c>
      <c r="C22">
        <v>3.3</v>
      </c>
      <c r="D22">
        <v>11.5</v>
      </c>
      <c r="E22">
        <v>0.502</v>
      </c>
      <c r="F22">
        <v>10.9</v>
      </c>
      <c r="G22">
        <v>0.20300000000000001</v>
      </c>
    </row>
    <row r="23" spans="1:7" x14ac:dyDescent="0.25">
      <c r="A23">
        <v>2003</v>
      </c>
      <c r="B23">
        <v>24.2</v>
      </c>
      <c r="C23">
        <v>13.9</v>
      </c>
      <c r="D23">
        <v>5</v>
      </c>
      <c r="E23">
        <v>0.499</v>
      </c>
      <c r="F23">
        <v>18.3</v>
      </c>
      <c r="G23">
        <v>0.27200000000000002</v>
      </c>
    </row>
    <row r="24" spans="1:7" x14ac:dyDescent="0.25">
      <c r="A24">
        <v>2002</v>
      </c>
      <c r="B24">
        <v>23.3</v>
      </c>
      <c r="C24">
        <v>12.9</v>
      </c>
      <c r="D24">
        <v>3.9</v>
      </c>
      <c r="E24">
        <v>0.51300000000000001</v>
      </c>
      <c r="F24">
        <v>16.5</v>
      </c>
      <c r="G24">
        <v>0.248</v>
      </c>
    </row>
    <row r="25" spans="1:7" x14ac:dyDescent="0.25">
      <c r="A25">
        <v>2001</v>
      </c>
      <c r="B25">
        <v>25.5</v>
      </c>
      <c r="C25">
        <v>12.7</v>
      </c>
      <c r="D25">
        <v>3.7</v>
      </c>
      <c r="E25">
        <v>0.50800000000000001</v>
      </c>
      <c r="F25">
        <v>17.8</v>
      </c>
      <c r="G25">
        <v>0.25700000000000001</v>
      </c>
    </row>
    <row r="26" spans="1:7" x14ac:dyDescent="0.25">
      <c r="A26">
        <v>2000</v>
      </c>
      <c r="B26">
        <v>31.1</v>
      </c>
      <c r="C26">
        <v>3.8</v>
      </c>
      <c r="D26">
        <v>4.5999999999999996</v>
      </c>
      <c r="E26">
        <v>0.42</v>
      </c>
      <c r="F26">
        <v>11.8</v>
      </c>
      <c r="G26">
        <v>0.19</v>
      </c>
    </row>
    <row r="27" spans="1:7" x14ac:dyDescent="0.25">
      <c r="A27">
        <v>1999</v>
      </c>
      <c r="B27">
        <v>29.7</v>
      </c>
      <c r="C27">
        <v>13.6</v>
      </c>
      <c r="D27">
        <v>3.8</v>
      </c>
      <c r="E27">
        <v>0.57399999999999995</v>
      </c>
      <c r="F27">
        <v>18.600000000000001</v>
      </c>
      <c r="G27">
        <v>0.28299999999999997</v>
      </c>
    </row>
    <row r="28" spans="1:7" x14ac:dyDescent="0.25">
      <c r="A28">
        <v>1998</v>
      </c>
      <c r="B28">
        <v>23.8</v>
      </c>
      <c r="C28">
        <v>9.4</v>
      </c>
      <c r="D28">
        <v>4.0999999999999996</v>
      </c>
      <c r="E28">
        <v>0.49299999999999999</v>
      </c>
      <c r="F28">
        <v>9.6</v>
      </c>
      <c r="G28">
        <v>0.252</v>
      </c>
    </row>
    <row r="29" spans="1:7" x14ac:dyDescent="0.25">
      <c r="A29">
        <v>1997</v>
      </c>
      <c r="B29">
        <v>28.7</v>
      </c>
      <c r="C29">
        <v>5.8</v>
      </c>
      <c r="D29">
        <v>3.5</v>
      </c>
      <c r="E29">
        <v>0.46500000000000002</v>
      </c>
      <c r="F29">
        <v>15.8</v>
      </c>
      <c r="G29">
        <v>0.23799999999999999</v>
      </c>
    </row>
    <row r="30" spans="1:7" x14ac:dyDescent="0.25">
      <c r="A30">
        <v>1996</v>
      </c>
      <c r="B30">
        <v>27.4</v>
      </c>
      <c r="C30">
        <v>9.9</v>
      </c>
      <c r="D30">
        <v>4.5</v>
      </c>
      <c r="E30">
        <v>0.55000000000000004</v>
      </c>
      <c r="F30">
        <v>16.7</v>
      </c>
      <c r="G30">
        <v>0.26800000000000002</v>
      </c>
    </row>
    <row r="31" spans="1:7" x14ac:dyDescent="0.25">
      <c r="A31">
        <v>1995</v>
      </c>
      <c r="B31">
        <v>30.4</v>
      </c>
      <c r="C31">
        <v>6.6</v>
      </c>
      <c r="D31">
        <v>4.3</v>
      </c>
      <c r="E31">
        <v>0.495</v>
      </c>
      <c r="F31">
        <v>20.399999999999999</v>
      </c>
      <c r="G31">
        <v>0.317</v>
      </c>
    </row>
    <row r="32" spans="1:7" x14ac:dyDescent="0.25">
      <c r="A32">
        <v>1994</v>
      </c>
      <c r="B32">
        <v>27.6</v>
      </c>
      <c r="C32">
        <v>10.8</v>
      </c>
      <c r="D32">
        <v>2.9</v>
      </c>
      <c r="E32">
        <v>0.53</v>
      </c>
      <c r="F32">
        <v>17.5</v>
      </c>
      <c r="G32">
        <v>0.27300000000000002</v>
      </c>
    </row>
    <row r="33" spans="1:7" x14ac:dyDescent="0.25">
      <c r="A33">
        <v>1993</v>
      </c>
      <c r="B33">
        <v>27.3</v>
      </c>
      <c r="C33">
        <v>11.9</v>
      </c>
      <c r="D33">
        <v>3.6</v>
      </c>
      <c r="E33">
        <v>0.52800000000000002</v>
      </c>
      <c r="F33">
        <v>14.3</v>
      </c>
      <c r="G33">
        <v>0.21</v>
      </c>
    </row>
    <row r="34" spans="1:7" x14ac:dyDescent="0.25">
      <c r="A34">
        <v>1992</v>
      </c>
      <c r="B34">
        <v>25.6</v>
      </c>
      <c r="C34">
        <v>12.2</v>
      </c>
      <c r="D34">
        <v>5.0999999999999996</v>
      </c>
      <c r="E34">
        <v>0.52</v>
      </c>
      <c r="F34">
        <v>14.4</v>
      </c>
      <c r="G34">
        <v>0.24199999999999999</v>
      </c>
    </row>
    <row r="35" spans="1:7" x14ac:dyDescent="0.25">
      <c r="A35">
        <v>1991</v>
      </c>
      <c r="B35">
        <v>30.1</v>
      </c>
      <c r="C35">
        <v>6.4</v>
      </c>
      <c r="D35">
        <v>6.1</v>
      </c>
      <c r="E35">
        <v>0.51900000000000002</v>
      </c>
      <c r="F35">
        <v>17.7</v>
      </c>
      <c r="G35">
        <v>0.27400000000000002</v>
      </c>
    </row>
    <row r="36" spans="1:7" x14ac:dyDescent="0.25">
      <c r="A36">
        <v>1990</v>
      </c>
      <c r="B36">
        <v>31.5</v>
      </c>
      <c r="C36">
        <v>6</v>
      </c>
      <c r="D36">
        <v>5.5</v>
      </c>
      <c r="E36">
        <v>0.53900000000000003</v>
      </c>
      <c r="F36">
        <v>20.3</v>
      </c>
      <c r="G36">
        <v>0.32100000000000001</v>
      </c>
    </row>
    <row r="37" spans="1:7" x14ac:dyDescent="0.25">
      <c r="A37">
        <v>1989</v>
      </c>
      <c r="B37">
        <v>22.3</v>
      </c>
      <c r="C37">
        <v>6.6</v>
      </c>
      <c r="D37">
        <v>11.5</v>
      </c>
      <c r="E37">
        <v>0.48</v>
      </c>
      <c r="F37">
        <v>16.5</v>
      </c>
      <c r="G37">
        <v>0.27</v>
      </c>
    </row>
  </sheetData>
  <pageMargins left="0.511811024" right="0.511811024" top="0.78740157499999996" bottom="0.78740157499999996" header="0.31496062000000002" footer="0.31496062000000002"/>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8C1A-751B-4D52-BC06-10DBBF4DF150}">
  <dimension ref="A1:L37"/>
  <sheetViews>
    <sheetView workbookViewId="0">
      <selection activeCell="K2" sqref="K2:L5"/>
    </sheetView>
  </sheetViews>
  <sheetFormatPr defaultRowHeight="15" x14ac:dyDescent="0.25"/>
  <cols>
    <col min="1" max="1" width="18" bestFit="1" customWidth="1"/>
    <col min="2" max="2" width="8.28515625" customWidth="1"/>
    <col min="3" max="3" width="7.140625" customWidth="1"/>
    <col min="11" max="11" width="21.42578125" bestFit="1" customWidth="1"/>
    <col min="12" max="12" width="23.7109375" customWidth="1"/>
  </cols>
  <sheetData>
    <row r="1" spans="1:12" x14ac:dyDescent="0.25">
      <c r="A1" t="s">
        <v>127</v>
      </c>
      <c r="B1" t="s">
        <v>15</v>
      </c>
      <c r="C1" t="s">
        <v>17</v>
      </c>
      <c r="D1" t="s">
        <v>18</v>
      </c>
      <c r="E1" t="s">
        <v>13</v>
      </c>
      <c r="F1" t="s">
        <v>22</v>
      </c>
      <c r="G1" t="s">
        <v>23</v>
      </c>
      <c r="J1" t="s">
        <v>298</v>
      </c>
      <c r="K1" t="s">
        <v>299</v>
      </c>
      <c r="L1" t="s">
        <v>300</v>
      </c>
    </row>
    <row r="2" spans="1:12" x14ac:dyDescent="0.25">
      <c r="A2">
        <v>2024</v>
      </c>
      <c r="B2">
        <v>9.3000000000000007</v>
      </c>
      <c r="C2">
        <v>0.9</v>
      </c>
      <c r="D2">
        <v>1.6</v>
      </c>
      <c r="E2">
        <v>30.5</v>
      </c>
      <c r="F2">
        <v>9</v>
      </c>
      <c r="G2" s="7">
        <v>0.19949203417224659</v>
      </c>
      <c r="J2" t="s">
        <v>15</v>
      </c>
      <c r="K2" s="14">
        <f>CORREL(Tabela16[TRB],Tabela16[WS])</f>
        <v>0.39655548300827559</v>
      </c>
      <c r="L2" s="14">
        <f>CORREL(Tabela16[TRB],Tabela16[WS/48])</f>
        <v>0.27885349908467466</v>
      </c>
    </row>
    <row r="3" spans="1:12" x14ac:dyDescent="0.25">
      <c r="A3">
        <v>2023</v>
      </c>
      <c r="B3">
        <v>12.9</v>
      </c>
      <c r="C3">
        <v>0.7</v>
      </c>
      <c r="D3">
        <v>2.1</v>
      </c>
      <c r="E3">
        <v>34.1</v>
      </c>
      <c r="F3">
        <v>11.6</v>
      </c>
      <c r="G3" s="7">
        <v>0.21484797036579717</v>
      </c>
      <c r="J3" t="s">
        <v>17</v>
      </c>
      <c r="K3" s="14">
        <f>CORREL(Tabela16[STL],Tabela16[WS])</f>
        <v>0.110667366189416</v>
      </c>
      <c r="L3" s="14">
        <f>CORREL(Tabela16[STL],Tabela16[WS/48])</f>
        <v>-3.6713920814002814E-2</v>
      </c>
    </row>
    <row r="4" spans="1:12" x14ac:dyDescent="0.25">
      <c r="A4">
        <v>2022</v>
      </c>
      <c r="B4">
        <v>6.8</v>
      </c>
      <c r="C4">
        <v>1</v>
      </c>
      <c r="D4">
        <v>3</v>
      </c>
      <c r="E4">
        <v>28.4</v>
      </c>
      <c r="F4">
        <v>6.6</v>
      </c>
      <c r="G4" s="7">
        <v>0.17706237424547283</v>
      </c>
      <c r="J4" t="s">
        <v>18</v>
      </c>
      <c r="K4" s="14">
        <f>CORREL(Tabela16[BLK],Tabela16[WS])</f>
        <v>0.31578341570842616</v>
      </c>
      <c r="L4" s="14">
        <f>CORREL(Tabela16[BLK],Tabela16[WS/48])</f>
        <v>0.1286246707547648</v>
      </c>
    </row>
    <row r="5" spans="1:12" x14ac:dyDescent="0.25">
      <c r="A5">
        <v>2021</v>
      </c>
      <c r="B5">
        <v>3.8</v>
      </c>
      <c r="C5">
        <v>1.7</v>
      </c>
      <c r="D5">
        <v>0.3</v>
      </c>
      <c r="E5">
        <v>32.299999999999997</v>
      </c>
      <c r="F5">
        <v>5.6</v>
      </c>
      <c r="G5" s="7">
        <v>0.11721100597392403</v>
      </c>
      <c r="J5" t="s">
        <v>13</v>
      </c>
      <c r="K5" s="14">
        <f>CORREL(Tabela16[MP],Tabela16[WS])</f>
        <v>0.38677296038647535</v>
      </c>
      <c r="L5" s="14">
        <f>CORREL(Tabela16[MP],Tabela16[WS/48])</f>
        <v>-0.12683136921182087</v>
      </c>
    </row>
    <row r="6" spans="1:12" x14ac:dyDescent="0.25">
      <c r="A6">
        <v>2020</v>
      </c>
      <c r="B6">
        <v>13.5</v>
      </c>
      <c r="C6">
        <v>0.6</v>
      </c>
      <c r="D6">
        <v>2.7</v>
      </c>
      <c r="E6">
        <v>30.8</v>
      </c>
      <c r="F6">
        <v>11.3</v>
      </c>
      <c r="G6" s="7">
        <v>0.24803365648436074</v>
      </c>
    </row>
    <row r="7" spans="1:12" x14ac:dyDescent="0.25">
      <c r="A7">
        <v>2019</v>
      </c>
      <c r="B7">
        <v>13.6</v>
      </c>
      <c r="C7">
        <v>1</v>
      </c>
      <c r="D7">
        <v>1</v>
      </c>
      <c r="E7">
        <v>30.4</v>
      </c>
      <c r="F7">
        <v>11.1</v>
      </c>
      <c r="G7" s="7">
        <v>0.2781954887218045</v>
      </c>
    </row>
    <row r="8" spans="1:12" x14ac:dyDescent="0.25">
      <c r="A8">
        <v>2018</v>
      </c>
      <c r="B8">
        <v>12.9</v>
      </c>
      <c r="C8">
        <v>0.8</v>
      </c>
      <c r="D8">
        <v>2.2999999999999998</v>
      </c>
      <c r="E8">
        <v>31.8</v>
      </c>
      <c r="F8">
        <v>14.4</v>
      </c>
      <c r="G8" s="7">
        <v>0.26834381551362685</v>
      </c>
    </row>
    <row r="9" spans="1:12" x14ac:dyDescent="0.25">
      <c r="A9">
        <v>2017</v>
      </c>
      <c r="B9">
        <v>10.7</v>
      </c>
      <c r="C9">
        <v>0.8</v>
      </c>
      <c r="D9">
        <v>2.2999999999999998</v>
      </c>
      <c r="E9">
        <v>32.4</v>
      </c>
      <c r="F9">
        <v>8.1</v>
      </c>
      <c r="G9" s="7">
        <v>0.21428571428571427</v>
      </c>
    </row>
    <row r="10" spans="1:12" x14ac:dyDescent="0.25">
      <c r="A10">
        <v>2016</v>
      </c>
      <c r="B10">
        <v>7.9</v>
      </c>
      <c r="C10">
        <v>2</v>
      </c>
      <c r="D10">
        <v>1.4</v>
      </c>
      <c r="E10">
        <v>32.5</v>
      </c>
      <c r="F10">
        <v>8.1999999999999993</v>
      </c>
      <c r="G10" s="7">
        <v>0.15935222672064775</v>
      </c>
    </row>
    <row r="11" spans="1:12" x14ac:dyDescent="0.25">
      <c r="A11">
        <v>2015</v>
      </c>
      <c r="B11">
        <v>6.8</v>
      </c>
      <c r="C11">
        <v>1.8</v>
      </c>
      <c r="D11">
        <v>1</v>
      </c>
      <c r="E11">
        <v>33.1</v>
      </c>
      <c r="F11">
        <v>13.7</v>
      </c>
      <c r="G11" s="7">
        <v>0.27593152064451149</v>
      </c>
    </row>
    <row r="12" spans="1:12" x14ac:dyDescent="0.25">
      <c r="A12">
        <v>2014</v>
      </c>
      <c r="B12">
        <v>7.2</v>
      </c>
      <c r="C12">
        <v>2.2999999999999998</v>
      </c>
      <c r="D12">
        <v>0.8</v>
      </c>
      <c r="E12">
        <v>31.8</v>
      </c>
      <c r="F12">
        <v>8.6</v>
      </c>
      <c r="G12" s="7">
        <v>0.20283018867924527</v>
      </c>
    </row>
    <row r="13" spans="1:12" x14ac:dyDescent="0.25">
      <c r="A13">
        <v>2013</v>
      </c>
      <c r="B13">
        <v>11.3</v>
      </c>
      <c r="C13">
        <v>1.2</v>
      </c>
      <c r="D13">
        <v>1.5</v>
      </c>
      <c r="E13">
        <v>35.299999999999997</v>
      </c>
      <c r="F13">
        <v>11.2</v>
      </c>
      <c r="G13" s="7">
        <v>0.19036827195467418</v>
      </c>
    </row>
    <row r="14" spans="1:12" x14ac:dyDescent="0.25">
      <c r="A14">
        <v>2012</v>
      </c>
      <c r="B14">
        <v>7.8</v>
      </c>
      <c r="C14">
        <v>1</v>
      </c>
      <c r="D14">
        <v>1.7</v>
      </c>
      <c r="E14">
        <v>35</v>
      </c>
      <c r="F14">
        <v>11.5</v>
      </c>
      <c r="G14" s="7">
        <v>0.19714285714285715</v>
      </c>
    </row>
    <row r="15" spans="1:12" x14ac:dyDescent="0.25">
      <c r="A15">
        <v>2011</v>
      </c>
      <c r="B15">
        <v>9.9</v>
      </c>
      <c r="C15">
        <v>0.9</v>
      </c>
      <c r="D15">
        <v>1.4</v>
      </c>
      <c r="E15">
        <v>33.200000000000003</v>
      </c>
      <c r="F15">
        <v>9.5</v>
      </c>
      <c r="G15" s="7">
        <v>0.22153128643606684</v>
      </c>
    </row>
    <row r="16" spans="1:12" x14ac:dyDescent="0.25">
      <c r="A16">
        <v>2010</v>
      </c>
      <c r="B16">
        <v>14.1</v>
      </c>
      <c r="C16">
        <v>1.4</v>
      </c>
      <c r="D16">
        <v>2.4</v>
      </c>
      <c r="E16">
        <v>37.6</v>
      </c>
      <c r="F16">
        <v>14.4</v>
      </c>
      <c r="G16" s="7">
        <v>0.23567921440261866</v>
      </c>
    </row>
    <row r="17" spans="1:7" x14ac:dyDescent="0.25">
      <c r="A17">
        <v>2009</v>
      </c>
      <c r="B17">
        <v>13.2</v>
      </c>
      <c r="C17">
        <v>0.9</v>
      </c>
      <c r="D17">
        <v>2.8</v>
      </c>
      <c r="E17">
        <v>34.700000000000003</v>
      </c>
      <c r="F17">
        <v>13.2</v>
      </c>
      <c r="G17" s="7">
        <v>0.22267519505166231</v>
      </c>
    </row>
    <row r="18" spans="1:7" x14ac:dyDescent="0.25">
      <c r="A18">
        <v>2008</v>
      </c>
      <c r="B18">
        <v>13.8</v>
      </c>
      <c r="C18">
        <v>1</v>
      </c>
      <c r="D18">
        <v>2.9</v>
      </c>
      <c r="E18">
        <v>35.700000000000003</v>
      </c>
      <c r="F18">
        <v>13.8</v>
      </c>
      <c r="G18" s="7">
        <v>0.23486863099670249</v>
      </c>
    </row>
    <row r="19" spans="1:7" x14ac:dyDescent="0.25">
      <c r="A19">
        <v>2007</v>
      </c>
      <c r="B19">
        <v>9.1999999999999993</v>
      </c>
      <c r="C19">
        <v>1.4</v>
      </c>
      <c r="D19">
        <v>1.3</v>
      </c>
      <c r="E19">
        <v>32.799999999999997</v>
      </c>
      <c r="F19">
        <v>12.9</v>
      </c>
      <c r="G19" s="7">
        <v>0.26588801099278603</v>
      </c>
    </row>
    <row r="20" spans="1:7" x14ac:dyDescent="0.25">
      <c r="A20">
        <v>2006</v>
      </c>
      <c r="B20">
        <v>11.7</v>
      </c>
      <c r="C20">
        <v>1.2</v>
      </c>
      <c r="D20">
        <v>3.3</v>
      </c>
      <c r="E20">
        <v>33.799999999999997</v>
      </c>
      <c r="F20">
        <v>7.6</v>
      </c>
      <c r="G20" s="7">
        <v>0.15418427726120032</v>
      </c>
    </row>
    <row r="21" spans="1:7" x14ac:dyDescent="0.25">
      <c r="A21">
        <v>2005</v>
      </c>
      <c r="B21">
        <v>11.3</v>
      </c>
      <c r="C21">
        <v>1.8</v>
      </c>
      <c r="D21">
        <v>2.2000000000000002</v>
      </c>
      <c r="E21">
        <v>35.200000000000003</v>
      </c>
      <c r="F21">
        <v>10.1</v>
      </c>
      <c r="G21" s="7">
        <v>0.16796008869179599</v>
      </c>
    </row>
    <row r="22" spans="1:7" x14ac:dyDescent="0.25">
      <c r="A22">
        <v>2004</v>
      </c>
      <c r="B22">
        <v>12.2</v>
      </c>
      <c r="C22">
        <v>1.4</v>
      </c>
      <c r="D22">
        <v>2.4</v>
      </c>
      <c r="E22">
        <v>36.1</v>
      </c>
      <c r="F22">
        <v>8.5</v>
      </c>
      <c r="G22" s="7">
        <v>0.15272890619151006</v>
      </c>
    </row>
    <row r="23" spans="1:7" x14ac:dyDescent="0.25">
      <c r="A23">
        <v>2003</v>
      </c>
      <c r="B23">
        <v>5.3</v>
      </c>
      <c r="C23">
        <v>2.1</v>
      </c>
      <c r="D23">
        <v>0.7</v>
      </c>
      <c r="E23">
        <v>37.200000000000003</v>
      </c>
      <c r="F23">
        <v>8</v>
      </c>
      <c r="G23" s="7">
        <v>0.14140521431727793</v>
      </c>
    </row>
    <row r="24" spans="1:7" x14ac:dyDescent="0.25">
      <c r="A24">
        <v>2002</v>
      </c>
      <c r="B24">
        <v>15.4</v>
      </c>
      <c r="C24">
        <v>1.4</v>
      </c>
      <c r="D24">
        <v>3.2</v>
      </c>
      <c r="E24">
        <v>39.4</v>
      </c>
      <c r="F24">
        <v>10.6</v>
      </c>
      <c r="G24" s="7">
        <v>0.17690007648981293</v>
      </c>
    </row>
    <row r="25" spans="1:7" x14ac:dyDescent="0.25">
      <c r="A25">
        <v>2001</v>
      </c>
      <c r="B25">
        <v>13</v>
      </c>
      <c r="C25">
        <v>1.7</v>
      </c>
      <c r="D25">
        <v>3.5</v>
      </c>
      <c r="E25">
        <v>36.5</v>
      </c>
      <c r="F25">
        <v>11.6</v>
      </c>
      <c r="G25" s="7">
        <v>0.19068493150684929</v>
      </c>
    </row>
    <row r="26" spans="1:7" x14ac:dyDescent="0.25">
      <c r="A26">
        <v>2000</v>
      </c>
      <c r="B26">
        <v>13.5</v>
      </c>
      <c r="C26">
        <v>0.4</v>
      </c>
      <c r="D26">
        <v>2.7</v>
      </c>
      <c r="E26">
        <v>34.5</v>
      </c>
      <c r="F26">
        <v>8.1</v>
      </c>
      <c r="G26" s="7">
        <v>0.15026086956521736</v>
      </c>
    </row>
    <row r="27" spans="1:7" x14ac:dyDescent="0.25">
      <c r="A27">
        <v>1999</v>
      </c>
      <c r="B27">
        <v>9.5</v>
      </c>
      <c r="C27">
        <v>0.5</v>
      </c>
      <c r="D27">
        <v>3.7</v>
      </c>
      <c r="E27">
        <v>34.799999999999997</v>
      </c>
      <c r="F27">
        <v>12.9</v>
      </c>
      <c r="G27" s="7">
        <v>0.22522915757311221</v>
      </c>
    </row>
    <row r="28" spans="1:7" x14ac:dyDescent="0.25">
      <c r="A28">
        <v>1998</v>
      </c>
      <c r="B28">
        <v>11</v>
      </c>
      <c r="C28">
        <v>0.7</v>
      </c>
      <c r="D28">
        <v>3.9</v>
      </c>
      <c r="E28">
        <v>38.1</v>
      </c>
      <c r="F28">
        <v>7.9</v>
      </c>
      <c r="G28" s="7">
        <v>0.21636425881547416</v>
      </c>
    </row>
    <row r="29" spans="1:7" x14ac:dyDescent="0.25">
      <c r="A29">
        <v>1997</v>
      </c>
      <c r="B29">
        <v>11.4</v>
      </c>
      <c r="C29">
        <v>0.4</v>
      </c>
      <c r="D29">
        <v>3.4</v>
      </c>
      <c r="E29">
        <v>35.6</v>
      </c>
      <c r="F29">
        <v>10.8</v>
      </c>
      <c r="G29" s="7">
        <v>0.17758289942449987</v>
      </c>
    </row>
    <row r="30" spans="1:7" x14ac:dyDescent="0.25">
      <c r="A30">
        <v>1996</v>
      </c>
      <c r="B30">
        <v>11.6</v>
      </c>
      <c r="C30">
        <v>0.6</v>
      </c>
      <c r="D30">
        <v>3.3</v>
      </c>
      <c r="E30">
        <v>37.200000000000003</v>
      </c>
      <c r="F30">
        <v>11.3</v>
      </c>
      <c r="G30" s="7">
        <v>0.18225806451612905</v>
      </c>
    </row>
    <row r="31" spans="1:7" x14ac:dyDescent="0.25">
      <c r="A31">
        <v>1995</v>
      </c>
      <c r="B31">
        <v>4.2</v>
      </c>
      <c r="C31">
        <v>2.9</v>
      </c>
      <c r="D31">
        <v>0.2</v>
      </c>
      <c r="E31">
        <v>39</v>
      </c>
      <c r="F31">
        <v>11.5</v>
      </c>
      <c r="G31" s="7">
        <v>0.17473884140550808</v>
      </c>
    </row>
    <row r="32" spans="1:7" x14ac:dyDescent="0.25">
      <c r="A32">
        <v>1994</v>
      </c>
      <c r="B32">
        <v>12.5</v>
      </c>
      <c r="C32">
        <v>0.5</v>
      </c>
      <c r="D32">
        <v>3.9</v>
      </c>
      <c r="E32">
        <v>37.799999999999997</v>
      </c>
      <c r="F32">
        <v>8.6999999999999993</v>
      </c>
      <c r="G32" s="7">
        <v>0.13472706155632985</v>
      </c>
    </row>
    <row r="33" spans="1:7" x14ac:dyDescent="0.25">
      <c r="A33">
        <v>1993</v>
      </c>
      <c r="B33">
        <v>11.9</v>
      </c>
      <c r="C33">
        <v>1.6</v>
      </c>
      <c r="D33">
        <v>3.7</v>
      </c>
      <c r="E33">
        <v>41</v>
      </c>
      <c r="F33">
        <v>14.3</v>
      </c>
      <c r="G33" s="7">
        <v>0.20926829268292685</v>
      </c>
    </row>
    <row r="34" spans="1:7" x14ac:dyDescent="0.25">
      <c r="A34">
        <v>1992</v>
      </c>
      <c r="B34">
        <v>13</v>
      </c>
      <c r="C34">
        <v>1.8</v>
      </c>
      <c r="D34">
        <v>4.2</v>
      </c>
      <c r="E34">
        <v>39.5</v>
      </c>
      <c r="F34">
        <v>15.8</v>
      </c>
      <c r="G34" s="7">
        <v>0.23414634146341468</v>
      </c>
    </row>
    <row r="35" spans="1:7" x14ac:dyDescent="0.25">
      <c r="A35">
        <v>1991</v>
      </c>
      <c r="B35">
        <v>12.2</v>
      </c>
      <c r="C35">
        <v>2.2999999999999998</v>
      </c>
      <c r="D35">
        <v>4.5</v>
      </c>
      <c r="E35">
        <v>37.700000000000003</v>
      </c>
      <c r="F35">
        <v>13.9</v>
      </c>
      <c r="G35" s="7">
        <v>0.26025901076611013</v>
      </c>
    </row>
    <row r="36" spans="1:7" x14ac:dyDescent="0.25">
      <c r="A36">
        <v>1990</v>
      </c>
      <c r="B36">
        <v>12.5</v>
      </c>
      <c r="C36">
        <v>0.8</v>
      </c>
      <c r="D36">
        <v>0.7</v>
      </c>
      <c r="E36">
        <v>33.5</v>
      </c>
      <c r="F36">
        <v>8.6999999999999993</v>
      </c>
      <c r="G36" s="7">
        <v>0.15202038587550054</v>
      </c>
    </row>
    <row r="37" spans="1:7" x14ac:dyDescent="0.25">
      <c r="A37">
        <v>1989</v>
      </c>
      <c r="B37">
        <v>9.6999999999999993</v>
      </c>
      <c r="C37">
        <v>0.6</v>
      </c>
      <c r="D37">
        <v>0.7</v>
      </c>
      <c r="E37">
        <v>29</v>
      </c>
      <c r="F37">
        <v>9.3000000000000007</v>
      </c>
      <c r="G37" s="7">
        <v>0.18772077375946175</v>
      </c>
    </row>
  </sheetData>
  <pageMargins left="0.511811024" right="0.511811024" top="0.78740157499999996" bottom="0.78740157499999996" header="0.31496062000000002" footer="0.31496062000000002"/>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F3139-2178-4DEA-9372-D7532F418376}">
  <dimension ref="A1:S9"/>
  <sheetViews>
    <sheetView showGridLines="0" workbookViewId="0">
      <selection activeCell="O31" sqref="O31"/>
    </sheetView>
  </sheetViews>
  <sheetFormatPr defaultRowHeight="15" x14ac:dyDescent="0.25"/>
  <sheetData>
    <row r="1" spans="1:19" ht="18.75" x14ac:dyDescent="0.3">
      <c r="A1" s="15" t="s">
        <v>176</v>
      </c>
      <c r="B1" s="15"/>
      <c r="C1" s="15"/>
      <c r="D1" s="15"/>
      <c r="E1" s="15"/>
      <c r="F1" s="15"/>
      <c r="G1" s="15"/>
      <c r="H1" s="15"/>
      <c r="I1" s="15"/>
      <c r="J1" s="6"/>
      <c r="K1" s="6"/>
      <c r="L1" s="6"/>
      <c r="M1" s="6"/>
      <c r="N1" s="6"/>
      <c r="O1" s="6"/>
      <c r="P1" s="6"/>
      <c r="Q1" s="6"/>
      <c r="R1" s="6"/>
      <c r="S1" s="6"/>
    </row>
    <row r="3" spans="1:19" ht="15.75" x14ac:dyDescent="0.25">
      <c r="A3" s="11" t="s">
        <v>274</v>
      </c>
    </row>
    <row r="4" spans="1:19" ht="15.75" x14ac:dyDescent="0.25">
      <c r="A4" s="11"/>
    </row>
    <row r="5" spans="1:19" ht="18" customHeight="1" x14ac:dyDescent="0.25">
      <c r="A5" t="s">
        <v>275</v>
      </c>
    </row>
    <row r="6" spans="1:19" ht="18" customHeight="1" x14ac:dyDescent="0.25">
      <c r="A6" t="s">
        <v>276</v>
      </c>
    </row>
    <row r="7" spans="1:19" ht="18" customHeight="1" x14ac:dyDescent="0.25">
      <c r="A7" t="s">
        <v>277</v>
      </c>
    </row>
    <row r="8" spans="1:19" ht="18" customHeight="1" x14ac:dyDescent="0.25">
      <c r="A8" t="s">
        <v>278</v>
      </c>
    </row>
    <row r="9" spans="1:19" ht="18" customHeight="1" x14ac:dyDescent="0.25">
      <c r="A9" t="s">
        <v>279</v>
      </c>
    </row>
  </sheetData>
  <mergeCells count="1">
    <mergeCell ref="A1:I1"/>
  </mergeCells>
  <pageMargins left="0.511811024" right="0.511811024" top="0.78740157499999996" bottom="0.78740157499999996" header="0.31496062000000002" footer="0.31496062000000002"/>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68A1-48EB-4927-B28B-722987432CDE}">
  <dimension ref="A1:L9"/>
  <sheetViews>
    <sheetView showGridLines="0" workbookViewId="0">
      <selection sqref="A1:L1"/>
    </sheetView>
  </sheetViews>
  <sheetFormatPr defaultRowHeight="15" x14ac:dyDescent="0.25"/>
  <cols>
    <col min="1" max="1" width="9.140625" customWidth="1"/>
    <col min="8" max="8" width="18.42578125" customWidth="1"/>
  </cols>
  <sheetData>
    <row r="1" spans="1:12" ht="18.75" x14ac:dyDescent="0.3">
      <c r="A1" s="15" t="s">
        <v>211</v>
      </c>
      <c r="B1" s="15"/>
      <c r="C1" s="15"/>
      <c r="D1" s="15"/>
      <c r="E1" s="15"/>
      <c r="F1" s="15"/>
      <c r="G1" s="15"/>
      <c r="H1" s="15"/>
      <c r="I1" s="15"/>
      <c r="J1" s="15"/>
      <c r="K1" s="15"/>
      <c r="L1" s="15"/>
    </row>
    <row r="2" spans="1:12" ht="18.75" x14ac:dyDescent="0.3">
      <c r="A2" s="10"/>
      <c r="B2" s="10"/>
      <c r="C2" s="10"/>
      <c r="D2" s="10"/>
      <c r="E2" s="10"/>
      <c r="F2" s="10"/>
      <c r="G2" s="10"/>
      <c r="H2" s="10"/>
      <c r="I2" s="10"/>
      <c r="J2" s="10"/>
      <c r="K2" s="10"/>
      <c r="L2" s="10"/>
    </row>
    <row r="3" spans="1:12" ht="15.75" x14ac:dyDescent="0.25">
      <c r="A3" s="11" t="s">
        <v>280</v>
      </c>
    </row>
    <row r="4" spans="1:12" ht="15.75" x14ac:dyDescent="0.25">
      <c r="A4" s="11"/>
    </row>
    <row r="5" spans="1:12" ht="18" customHeight="1" x14ac:dyDescent="0.25">
      <c r="A5" t="s">
        <v>281</v>
      </c>
    </row>
    <row r="6" spans="1:12" ht="18" customHeight="1" x14ac:dyDescent="0.25">
      <c r="A6" t="s">
        <v>282</v>
      </c>
    </row>
    <row r="7" spans="1:12" ht="18" customHeight="1" x14ac:dyDescent="0.25">
      <c r="A7" t="s">
        <v>283</v>
      </c>
    </row>
    <row r="8" spans="1:12" ht="18" customHeight="1" x14ac:dyDescent="0.25">
      <c r="A8" t="s">
        <v>284</v>
      </c>
    </row>
    <row r="9" spans="1:12" ht="18" customHeight="1" x14ac:dyDescent="0.25">
      <c r="A9" t="s">
        <v>285</v>
      </c>
    </row>
  </sheetData>
  <mergeCells count="1">
    <mergeCell ref="A1:L1"/>
  </mergeCells>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D6D92-3C70-4B10-A878-88AFF2B2BC9C}">
  <dimension ref="A1:I12"/>
  <sheetViews>
    <sheetView showGridLines="0" workbookViewId="0">
      <selection sqref="A1:I1"/>
    </sheetView>
  </sheetViews>
  <sheetFormatPr defaultRowHeight="15" x14ac:dyDescent="0.25"/>
  <cols>
    <col min="5" max="5" width="10.42578125" customWidth="1"/>
  </cols>
  <sheetData>
    <row r="1" spans="1:9" ht="18.75" x14ac:dyDescent="0.3">
      <c r="A1" s="15" t="s">
        <v>264</v>
      </c>
      <c r="B1" s="15"/>
      <c r="C1" s="15"/>
      <c r="D1" s="15"/>
      <c r="E1" s="15"/>
      <c r="F1" s="15"/>
      <c r="G1" s="15"/>
      <c r="H1" s="15"/>
      <c r="I1" s="15"/>
    </row>
    <row r="2" spans="1:9" ht="18.75" x14ac:dyDescent="0.3">
      <c r="A2" s="10"/>
      <c r="B2" s="10"/>
      <c r="C2" s="10"/>
      <c r="D2" s="10"/>
      <c r="E2" s="10"/>
      <c r="F2" s="10"/>
      <c r="G2" s="10"/>
      <c r="H2" s="10"/>
      <c r="I2" s="10"/>
    </row>
    <row r="3" spans="1:9" ht="15.75" x14ac:dyDescent="0.25">
      <c r="A3" s="11" t="s">
        <v>286</v>
      </c>
    </row>
    <row r="4" spans="1:9" ht="15.75" x14ac:dyDescent="0.25">
      <c r="A4" s="11"/>
    </row>
    <row r="5" spans="1:9" ht="18" customHeight="1" x14ac:dyDescent="0.25">
      <c r="A5" s="12" t="s">
        <v>290</v>
      </c>
    </row>
    <row r="6" spans="1:9" ht="18" customHeight="1" x14ac:dyDescent="0.25">
      <c r="A6" t="s">
        <v>287</v>
      </c>
    </row>
    <row r="7" spans="1:9" ht="18" customHeight="1" x14ac:dyDescent="0.25">
      <c r="A7" t="s">
        <v>288</v>
      </c>
    </row>
    <row r="8" spans="1:9" ht="18" customHeight="1" x14ac:dyDescent="0.25">
      <c r="A8" t="s">
        <v>291</v>
      </c>
    </row>
    <row r="9" spans="1:9" ht="18" customHeight="1" x14ac:dyDescent="0.25">
      <c r="A9" t="s">
        <v>289</v>
      </c>
    </row>
    <row r="11" spans="1:9" x14ac:dyDescent="0.25">
      <c r="A11" s="16" t="s">
        <v>265</v>
      </c>
      <c r="B11" s="16"/>
      <c r="C11" s="16"/>
      <c r="D11" s="16"/>
      <c r="E11" s="16"/>
    </row>
    <row r="12" spans="1:9" x14ac:dyDescent="0.25">
      <c r="A12" s="5"/>
      <c r="B12" s="5"/>
      <c r="C12" s="5"/>
      <c r="D12" s="5"/>
      <c r="E12" s="5"/>
    </row>
  </sheetData>
  <mergeCells count="2">
    <mergeCell ref="A11:E11"/>
    <mergeCell ref="A1:I1"/>
  </mergeCells>
  <pageMargins left="0.511811024" right="0.511811024" top="0.78740157499999996" bottom="0.78740157499999996" header="0.31496062000000002" footer="0.31496062000000002"/>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D4AE-B311-4FA1-9600-1B9BB595DF9A}">
  <dimension ref="A1:L11"/>
  <sheetViews>
    <sheetView showGridLines="0" tabSelected="1" workbookViewId="0">
      <selection activeCell="G27" sqref="G27"/>
    </sheetView>
  </sheetViews>
  <sheetFormatPr defaultRowHeight="15" x14ac:dyDescent="0.25"/>
  <sheetData>
    <row r="1" spans="1:12" ht="18.75" x14ac:dyDescent="0.3">
      <c r="A1" s="15" t="s">
        <v>266</v>
      </c>
      <c r="B1" s="15"/>
      <c r="C1" s="15"/>
      <c r="D1" s="15"/>
      <c r="E1" s="15"/>
      <c r="F1" s="15"/>
      <c r="G1" s="15"/>
      <c r="H1" s="15"/>
      <c r="I1" s="15"/>
      <c r="J1" s="15"/>
      <c r="K1" s="15"/>
      <c r="L1" s="15"/>
    </row>
    <row r="3" spans="1:12" ht="15.75" x14ac:dyDescent="0.25">
      <c r="A3" s="11" t="s">
        <v>267</v>
      </c>
    </row>
    <row r="4" spans="1:12" x14ac:dyDescent="0.25">
      <c r="A4" s="6"/>
    </row>
    <row r="5" spans="1:12" ht="18" customHeight="1" x14ac:dyDescent="0.25">
      <c r="A5" t="s">
        <v>268</v>
      </c>
    </row>
    <row r="6" spans="1:12" ht="18" customHeight="1" x14ac:dyDescent="0.25">
      <c r="A6" t="s">
        <v>269</v>
      </c>
    </row>
    <row r="7" spans="1:12" ht="18" customHeight="1" x14ac:dyDescent="0.25">
      <c r="A7" t="s">
        <v>270</v>
      </c>
    </row>
    <row r="8" spans="1:12" ht="18" customHeight="1" x14ac:dyDescent="0.25">
      <c r="A8" t="s">
        <v>272</v>
      </c>
    </row>
    <row r="9" spans="1:12" ht="18" customHeight="1" x14ac:dyDescent="0.25">
      <c r="A9" s="6" t="s">
        <v>271</v>
      </c>
    </row>
    <row r="10" spans="1:12" ht="18" customHeight="1" x14ac:dyDescent="0.25">
      <c r="A10" t="s">
        <v>273</v>
      </c>
    </row>
    <row r="11" spans="1:12" ht="18" customHeight="1" x14ac:dyDescent="0.25"/>
  </sheetData>
  <mergeCells count="1">
    <mergeCell ref="A1:L1"/>
  </mergeCells>
  <pageMargins left="0.511811024" right="0.511811024" top="0.78740157499999996" bottom="0.78740157499999996" header="0.31496062000000002" footer="0.31496062000000002"/>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8C7E25-B1F6-43C2-968F-9E42FAC280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18</vt:i4>
      </vt:variant>
    </vt:vector>
  </HeadingPairs>
  <TitlesOfParts>
    <vt:vector size="18" baseType="lpstr">
      <vt:lpstr>Dashboard</vt:lpstr>
      <vt:lpstr>README</vt:lpstr>
      <vt:lpstr>Mvp</vt:lpstr>
      <vt:lpstr>Data_MVP</vt:lpstr>
      <vt:lpstr>Data_DPOY_Decade</vt:lpstr>
      <vt:lpstr>DPOY</vt:lpstr>
      <vt:lpstr>DATA_DPOY_Correlation</vt:lpstr>
      <vt:lpstr>Data_ROY</vt:lpstr>
      <vt:lpstr>MVP_Decade_Summary</vt:lpstr>
      <vt:lpstr>DPOY_Decade_Summary</vt:lpstr>
      <vt:lpstr>ROY_Decade_Summary</vt:lpstr>
      <vt:lpstr>DPOY_Evolution</vt:lpstr>
      <vt:lpstr>Correlation_MVP</vt:lpstr>
      <vt:lpstr>Correlation_DPOY</vt:lpstr>
      <vt:lpstr>Final_Insights MVP</vt:lpstr>
      <vt:lpstr>Final_Insights DPOY</vt:lpstr>
      <vt:lpstr>Final_Insights ROY</vt:lpstr>
      <vt:lpstr>Final_Insights_Overall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oppermann</dc:creator>
  <cp:lastModifiedBy>max oppermann</cp:lastModifiedBy>
  <dcterms:created xsi:type="dcterms:W3CDTF">2025-12-22T12:09:11Z</dcterms:created>
  <dcterms:modified xsi:type="dcterms:W3CDTF">2025-12-24T17:10:18Z</dcterms:modified>
</cp:coreProperties>
</file>